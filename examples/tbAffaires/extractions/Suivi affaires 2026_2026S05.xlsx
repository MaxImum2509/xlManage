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fileVersion appName="Cegid.Cbp.SpreadsheetOpenXMLExport"/>
  <x:sheets>
    <x:sheet xmlns:r="http://schemas.openxmlformats.org/officeDocument/2006/relationships" name="Page 1" sheetId="1" r:id="rId1"/>
  </x:sheets>
</x:workbook>
</file>

<file path=xl/sharedStrings.xml><?xml version="1.0" encoding="utf-8"?>
<x:sst xmlns:x="http://schemas.openxmlformats.org/spreadsheetml/2006/main">
  <x:si>
    <x:t>Année</x:t>
  </x:si>
  <x:si>
    <x:t>Mois</x:t>
  </x:si>
  <x:si>
    <x:t>Commercial</x:t>
  </x:si>
  <x:si>
    <x:t>Code affaire</x:t>
  </x:si>
  <x:si>
    <x:t>État affaire</x:t>
  </x:si>
  <x:si>
    <x:t>Raison sociale</x:t>
  </x:si>
  <x:si>
    <x:t>Date de début</x:t>
  </x:si>
  <x:si>
    <x:t>Resp. princ.</x:t>
  </x:si>
  <x:si>
    <x:t>CA prévu</x:t>
  </x:si>
  <x:si>
    <x:t>Coût prévu</x:t>
  </x:si>
  <x:si>
    <x:t>Marge prévue</x:t>
  </x:si>
  <x:si>
    <x:t>%Prévu</x:t>
  </x:si>
  <x:si>
    <x:t>CA réel</x:t>
  </x:si>
  <x:si>
    <x:t>Coût réel</x:t>
  </x:si>
  <x:si>
    <x:t>Marge réelle</x:t>
  </x:si>
  <x:si>
    <x:t>%Réel</x:t>
  </x:si>
  <x:si>
    <x:t>1</x:t>
  </x:si>
  <x:si>
    <x:t>PHO</x:t>
  </x:si>
  <x:si>
    <x:t>AN  063157     00</x:t>
  </x:si>
  <x:si>
    <x:t>En chiffrage</x:t>
  </x:si>
  <x:si>
    <x:t>RATIER FIGEAC</x:t>
  </x:si>
  <x:si>
    <x:t>HT</x:t>
  </x:si>
  <x:si>
    <x:t/>
  </x:si>
  <x:si>
    <x:t>AF  063113     00</x:t>
  </x:si>
  <x:si>
    <x:t>CREACTIV</x:t>
  </x:si>
  <x:si>
    <x:t>AF  063117     00</x:t>
  </x:si>
  <x:si>
    <x:t>AF  063123     00</x:t>
  </x:si>
  <x:si>
    <x:t>SIEBEC</x:t>
  </x:si>
  <x:si>
    <x:t>AF  063158     00</x:t>
  </x:si>
  <x:si>
    <x:t>AF  063166     00</x:t>
  </x:si>
  <x:si>
    <x:t>ERIDIS</x:t>
  </x:si>
  <x:si>
    <x:t>AF  063211     00</x:t>
  </x:si>
  <x:si>
    <x:t>AF  063213     00</x:t>
  </x:si>
  <x:si>
    <x:t>AF  063214     00</x:t>
  </x:si>
  <x:si>
    <x:t>AF  063215     00</x:t>
  </x:si>
  <x:si>
    <x:t>AF  063216     00</x:t>
  </x:si>
  <x:si>
    <x:t>AF  063222     00</x:t>
  </x:si>
  <x:si>
    <x:t>AF  063223     00</x:t>
  </x:si>
  <x:si>
    <x:t>AN  063181     00</x:t>
  </x:si>
  <x:si>
    <x:t>MABEO INDUSTRIE</x:t>
  </x:si>
  <x:si>
    <x:t>AN  063192     00</x:t>
  </x:si>
  <x:si>
    <x:t>LAFAGE SARL</x:t>
  </x:si>
  <x:si>
    <x:t>AN  063207     00</x:t>
  </x:si>
  <x:si>
    <x:t>COELHO STE</x:t>
  </x:si>
  <x:si>
    <x:t>AN  063118     00</x:t>
  </x:si>
  <x:si>
    <x:t>CREI</x:t>
  </x:si>
  <x:si>
    <x:t>LCA</x:t>
  </x:si>
  <x:si>
    <x:t>AN  063161     00</x:t>
  </x:si>
  <x:si>
    <x:t>LISI BLANC AERO INDUSTRIES SAS</x:t>
  </x:si>
  <x:si>
    <x:t>AN  063167     00</x:t>
  </x:si>
  <x:si>
    <x:t>AN  063173     00</x:t>
  </x:si>
  <x:si>
    <x:t>BARBARIE SAS</x:t>
  </x:si>
  <x:si>
    <x:t>AN  063185     00</x:t>
  </x:si>
  <x:si>
    <x:t>GEOBIO (RAZEL BEC)</x:t>
  </x:si>
  <x:si>
    <x:t>AN  063212     00</x:t>
  </x:si>
  <x:si>
    <x:t>AN  063245     00</x:t>
  </x:si>
  <x:si>
    <x:t>FROMAGERIES PAPILLON</x:t>
  </x:si>
  <x:si>
    <x:t>AN  063249     00</x:t>
  </x:si>
  <x:si>
    <x:t>AN  063275     00</x:t>
  </x:si>
  <x:si>
    <x:t>AN  063111     00</x:t>
  </x:si>
  <x:si>
    <x:t>ICR-ACHAT.MATERIEL</x:t>
  </x:si>
  <x:si>
    <x:t>APA</x:t>
  </x:si>
  <x:si>
    <x:t>DGA</x:t>
  </x:si>
  <x:si>
    <x:t>AN  063114     00</x:t>
  </x:si>
  <x:si>
    <x:t>CIR SITE PFMP GAILLAC</x:t>
  </x:si>
  <x:si>
    <x:t>AN  063125     00</x:t>
  </x:si>
  <x:si>
    <x:t>AGRONUTRITION ( EX AMIFLOR)</x:t>
  </x:si>
  <x:si>
    <x:t>AN  063132     00</x:t>
  </x:si>
  <x:si>
    <x:t>LAFFONT STE</x:t>
  </x:si>
  <x:si>
    <x:t>NS</x:t>
  </x:si>
  <x:si>
    <x:t>AN  063136     00</x:t>
  </x:si>
  <x:si>
    <x:t>THERMO REFRIGERATION</x:t>
  </x:si>
  <x:si>
    <x:t>AN  063142     00</x:t>
  </x:si>
  <x:si>
    <x:t>GELATINES WEISHARDT</x:t>
  </x:si>
  <x:si>
    <x:t>AN  063159     00</x:t>
  </x:si>
  <x:si>
    <x:t>SEPIPROD</x:t>
  </x:si>
  <x:si>
    <x:t>AN  063160     00</x:t>
  </x:si>
  <x:si>
    <x:t>FRAUNIE PLANTS</x:t>
  </x:si>
  <x:si>
    <x:t>AN  063163     00</x:t>
  </x:si>
  <x:si>
    <x:t>LC RESEAUX TP</x:t>
  </x:si>
  <x:si>
    <x:t>AN  063171     00</x:t>
  </x:si>
  <x:si>
    <x:t>CASTEL METAL</x:t>
  </x:si>
  <x:si>
    <x:t>AN  063175     00</x:t>
  </x:si>
  <x:si>
    <x:t>PLO HENRI SA</x:t>
  </x:si>
  <x:si>
    <x:t>AN  063193     00</x:t>
  </x:si>
  <x:si>
    <x:t>NUTRIBIO </x:t>
  </x:si>
  <x:si>
    <x:t>AN  063195     00</x:t>
  </x:si>
  <x:si>
    <x:t>BOEHRINGER INGELHEIM ANIMAL</x:t>
  </x:si>
  <x:si>
    <x:t>AN  063199     00</x:t>
  </x:si>
  <x:si>
    <x:t>HYDRO BUILDING SYSTEM</x:t>
  </x:si>
  <x:si>
    <x:t>AN  063200     00</x:t>
  </x:si>
  <x:si>
    <x:t>BISCUIT INTERNATIONAL (POULT)</x:t>
  </x:si>
  <x:si>
    <x:t>AN  063201     00</x:t>
  </x:si>
  <x:si>
    <x:t>SICOVAL</x:t>
  </x:si>
  <x:si>
    <x:t>AN  063210     00</x:t>
  </x:si>
  <x:si>
    <x:t>AN  063218     00</x:t>
  </x:si>
  <x:si>
    <x:t>KING TREE</x:t>
  </x:si>
  <x:si>
    <x:t>AN  063219     00</x:t>
  </x:si>
  <x:si>
    <x:t>AN  063221     00</x:t>
  </x:si>
  <x:si>
    <x:t>YEO FRAIS</x:t>
  </x:si>
  <x:si>
    <x:t>AN  063230     00</x:t>
  </x:si>
  <x:si>
    <x:t>TARNAISE DES PANNEAUX SAS</x:t>
  </x:si>
  <x:si>
    <x:t>AN  063232     00</x:t>
  </x:si>
  <x:si>
    <x:t>DELZESCAUX</x:t>
  </x:si>
  <x:si>
    <x:t>AN  063237     00</x:t>
  </x:si>
  <x:si>
    <x:t>CIR SITE PFDC SOUAL</x:t>
  </x:si>
  <x:si>
    <x:t>AN  063238     00</x:t>
  </x:si>
  <x:si>
    <x:t>AN  063239     00</x:t>
  </x:si>
  <x:si>
    <x:t>BUTAGAZ SAS ****</x:t>
  </x:si>
  <x:si>
    <x:t>AN  063258     00</x:t>
  </x:si>
  <x:si>
    <x:t>BASF</x:t>
  </x:si>
  <x:si>
    <x:t>AN  063259     00</x:t>
  </x:si>
  <x:si>
    <x:t>AN  063260     00</x:t>
  </x:si>
  <x:si>
    <x:t>AN  063262     00</x:t>
  </x:si>
  <x:si>
    <x:t>AN  063263     00</x:t>
  </x:si>
  <x:si>
    <x:t>AN  063269     00</x:t>
  </x:si>
  <x:si>
    <x:t>SIRVEN</x:t>
  </x:si>
  <x:si>
    <x:t>AS  063205     00</x:t>
  </x:si>
  <x:si>
    <x:t>AUTONEUM FRANCE SAS</x:t>
  </x:si>
  <x:si>
    <x:t>AS  063206     00</x:t>
  </x:si>
  <x:si>
    <x:t>AS  063227     00</x:t>
  </x:si>
  <x:si>
    <x:t>JFR</x:t>
  </x:si>
  <x:si>
    <x:t>AF  063156     00</x:t>
  </x:si>
  <x:si>
    <x:t>RAYONIER A.M.TARTAS</x:t>
  </x:si>
  <x:si>
    <x:t>AN  063115     00</x:t>
  </x:si>
  <x:si>
    <x:t>DANONE 32</x:t>
  </x:si>
  <x:si>
    <x:t>AN  063116     00</x:t>
  </x:si>
  <x:si>
    <x:t>AN  063119     00</x:t>
  </x:si>
  <x:si>
    <x:t>CANARDS D'AUZAN (LES)</x:t>
  </x:si>
  <x:si>
    <x:t>AN  063122     00</x:t>
  </x:si>
  <x:si>
    <x:t>BIOLANDES TECHNOLOGIES</x:t>
  </x:si>
  <x:si>
    <x:t>AN  063127     00</x:t>
  </x:si>
  <x:si>
    <x:t>CMS HYDRO ( EX SEUT ) </x:t>
  </x:si>
  <x:si>
    <x:t>AN  063128     00</x:t>
  </x:si>
  <x:si>
    <x:t>CIR SITE FAREVA IDRON</x:t>
  </x:si>
  <x:si>
    <x:t>AN  063133     00</x:t>
  </x:si>
  <x:si>
    <x:t>BASTIDARRA</x:t>
  </x:si>
  <x:si>
    <x:t>AN  063134     00</x:t>
  </x:si>
  <x:si>
    <x:t>LES DELICES DE FELICIE</x:t>
  </x:si>
  <x:si>
    <x:t>AN  063137     00</x:t>
  </x:si>
  <x:si>
    <x:t>DRT</x:t>
  </x:si>
  <x:si>
    <x:t>AN  063139     00</x:t>
  </x:si>
  <x:si>
    <x:t>LES FROMAGERIES OCCITANES</x:t>
  </x:si>
  <x:si>
    <x:t>AN  063141     00</x:t>
  </x:si>
  <x:si>
    <x:t>BPC KAMBIO</x:t>
  </x:si>
  <x:si>
    <x:t>AN  063143     00</x:t>
  </x:si>
  <x:si>
    <x:t>ONETIK</x:t>
  </x:si>
  <x:si>
    <x:t>AN  063146     00</x:t>
  </x:si>
  <x:si>
    <x:t>AGOUR FROMAGES</x:t>
  </x:si>
  <x:si>
    <x:t>AN  063150     00</x:t>
  </x:si>
  <x:si>
    <x:t>MAISON BONCOLAC</x:t>
  </x:si>
  <x:si>
    <x:t>AN  063182     00</x:t>
  </x:si>
  <x:si>
    <x:t>TOM D'AQUI</x:t>
  </x:si>
  <x:si>
    <x:t>AN  063183     00</x:t>
  </x:si>
  <x:si>
    <x:t>CHEMVIRON PARENTIS SAS </x:t>
  </x:si>
  <x:si>
    <x:t>AN  063184     00</x:t>
  </x:si>
  <x:si>
    <x:t>AN  063190     00</x:t>
  </x:si>
  <x:si>
    <x:t>AN  063196     00</x:t>
  </x:si>
  <x:si>
    <x:t>AN  063197     00</x:t>
  </x:si>
  <x:si>
    <x:t>AN  063198     00</x:t>
  </x:si>
  <x:si>
    <x:t>AN  063208     00</x:t>
  </x:si>
  <x:si>
    <x:t>JEAN LUTZ SA **</x:t>
  </x:si>
  <x:si>
    <x:t>AN  063209     00</x:t>
  </x:si>
  <x:si>
    <x:t>ARKEMA FRANCE MONT</x:t>
  </x:si>
  <x:si>
    <x:t>AN  063220     00</x:t>
  </x:si>
  <x:si>
    <x:t>KNAUF INSULATION</x:t>
  </x:si>
  <x:si>
    <x:t>AN  063225     00</x:t>
  </x:si>
  <x:si>
    <x:t>ECOPUR PYRENEES</x:t>
  </x:si>
  <x:si>
    <x:t>AN  063231     00</x:t>
  </x:si>
  <x:si>
    <x:t>LINDT ET SPRUNGLI SAS</x:t>
  </x:si>
  <x:si>
    <x:t>AN  063234     00</x:t>
  </x:si>
  <x:si>
    <x:t>AN  063236     00</x:t>
  </x:si>
  <x:si>
    <x:t>DELPEYRAT 40</x:t>
  </x:si>
  <x:si>
    <x:t>AN  063241     00</x:t>
  </x:si>
  <x:si>
    <x:t>AN  063247     00</x:t>
  </x:si>
  <x:si>
    <x:t>EMULSION DES PYRENEES</x:t>
  </x:si>
  <x:si>
    <x:t>AN  063253     00</x:t>
  </x:si>
  <x:si>
    <x:t>LABEYRIE 40</x:t>
  </x:si>
  <x:si>
    <x:t>AN  063255     00</x:t>
  </x:si>
  <x:si>
    <x:t>NATURAL PLANT PROTECTION NPP</x:t>
  </x:si>
  <x:si>
    <x:t>AN  063279     00</x:t>
  </x:si>
  <x:si>
    <x:t>AR  063112     00</x:t>
  </x:si>
  <x:si>
    <x:t>SDE</x:t>
  </x:si>
  <x:si>
    <x:t>AF  063257     00</x:t>
  </x:si>
  <x:si>
    <x:t>SYKLEA</x:t>
  </x:si>
  <x:si>
    <x:t>AN  063120     00</x:t>
  </x:si>
  <x:si>
    <x:t>RPVI</x:t>
  </x:si>
  <x:si>
    <x:t>AN  063121     00</x:t>
  </x:si>
  <x:si>
    <x:t>SIAP</x:t>
  </x:si>
  <x:si>
    <x:t>AN  063144     00</x:t>
  </x:si>
  <x:si>
    <x:t>MAINTENANCE SERVICE 79</x:t>
  </x:si>
  <x:si>
    <x:t>AN  063147     00</x:t>
  </x:si>
  <x:si>
    <x:t>XELLA THERMOPIERRE</x:t>
  </x:si>
  <x:si>
    <x:t>AN  063153     00</x:t>
  </x:si>
  <x:si>
    <x:t>SANOFI WINTHROP INDUSTRIE</x:t>
  </x:si>
  <x:si>
    <x:t>AN  063164     00</x:t>
  </x:si>
  <x:si>
    <x:t>MAISON JOHANES BOUBEE </x:t>
  </x:si>
  <x:si>
    <x:t>AN  063165     00</x:t>
  </x:si>
  <x:si>
    <x:t>BEYNEL PALOX</x:t>
  </x:si>
  <x:si>
    <x:t>AN  063170     00</x:t>
  </x:si>
  <x:si>
    <x:t>SMURFIT WESTROCK</x:t>
  </x:si>
  <x:si>
    <x:t>AN  063178     00</x:t>
  </x:si>
  <x:si>
    <x:t>SAFT NERSAC</x:t>
  </x:si>
  <x:si>
    <x:t>AN  063191     00</x:t>
  </x:si>
  <x:si>
    <x:t>AN  063203     00</x:t>
  </x:si>
  <x:si>
    <x:t>FRONERI VAYRES</x:t>
  </x:si>
  <x:si>
    <x:t>AN  063226     00</x:t>
  </x:si>
  <x:si>
    <x:t>LES GRANDS CHAIS DE FRANCE</x:t>
  </x:si>
  <x:si>
    <x:t>AN  063228     00</x:t>
  </x:si>
  <x:si>
    <x:t>COREX BOARD ATLANTIC</x:t>
  </x:si>
  <x:si>
    <x:t>AN  063229     00</x:t>
  </x:si>
  <x:si>
    <x:t>AN  063235     00</x:t>
  </x:si>
  <x:si>
    <x:t>CORDIER EXCEL</x:t>
  </x:si>
  <x:si>
    <x:t>AN  063243     00</x:t>
  </x:si>
  <x:si>
    <x:t>BRENNTAG AQUITAINE</x:t>
  </x:si>
  <x:si>
    <x:t>AN  063248     00</x:t>
  </x:si>
  <x:si>
    <x:t>CMS SARL</x:t>
  </x:si>
  <x:si>
    <x:t>AN  063254     00</x:t>
  </x:si>
  <x:si>
    <x:t>AN  063264     00</x:t>
  </x:si>
  <x:si>
    <x:t>AN  063266     00</x:t>
  </x:si>
  <x:si>
    <x:t>AN  063270     00</x:t>
  </x:si>
  <x:si>
    <x:t>ROUSSELOT ANGOULÊME SAS</x:t>
  </x:si>
  <x:si>
    <x:t>AN  063273     00</x:t>
  </x:si>
  <x:si>
    <x:t>SIMOREP &amp; CIE,CSM MICHELIN</x:t>
  </x:si>
  <x:si>
    <x:t>AN  063274     00</x:t>
  </x:si>
  <x:si>
    <x:t>AN  063277     00</x:t>
  </x:si>
  <x:si>
    <x:t>AN  063280     00</x:t>
  </x:si>
  <x:si>
    <x:t>AR  063130     00</x:t>
  </x:si>
  <x:si>
    <x:t>EI TEM</x:t>
  </x:si>
  <x:si>
    <x:t>AF  063179     00</x:t>
  </x:si>
  <x:si>
    <x:t>ANDROS SNC USINE ANDROS</x:t>
  </x:si>
  <x:si>
    <x:t>AN  063124     00</x:t>
  </x:si>
  <x:si>
    <x:t>AN  063135     00</x:t>
  </x:si>
  <x:si>
    <x:t>GERSON</x:t>
  </x:si>
  <x:si>
    <x:t>AN  063138     00</x:t>
  </x:si>
  <x:si>
    <x:t>VALADE</x:t>
  </x:si>
  <x:si>
    <x:t>AN  063140     00</x:t>
  </x:si>
  <x:si>
    <x:t>ANDROS SNC USINE BOIN</x:t>
  </x:si>
  <x:si>
    <x:t>AN  063145     00</x:t>
  </x:si>
  <x:si>
    <x:t>STEICO CASTELJALOUX SAS</x:t>
  </x:si>
  <x:si>
    <x:t>AN  063149     00</x:t>
  </x:si>
  <x:si>
    <x:t>SYNDICAT PUY DES FOURCHES VEZERE</x:t>
  </x:si>
  <x:si>
    <x:t>AN  063151     00</x:t>
  </x:si>
  <x:si>
    <x:t>LUCIEN GEORGELIN</x:t>
  </x:si>
  <x:si>
    <x:t>AN  063152     00</x:t>
  </x:si>
  <x:si>
    <x:t>BIOQUERCY GRAMAT</x:t>
  </x:si>
  <x:si>
    <x:t>AN  063154     00</x:t>
  </x:si>
  <x:si>
    <x:t>NATURGIE FAVOLS</x:t>
  </x:si>
  <x:si>
    <x:t>AN  063162     00</x:t>
  </x:si>
  <x:si>
    <x:t>SAFIM DEXIS 47</x:t>
  </x:si>
  <x:si>
    <x:t>AN  063168     00</x:t>
  </x:si>
  <x:si>
    <x:t>AN  063169     00</x:t>
  </x:si>
  <x:si>
    <x:t>PIVAUDRAN.G ETS</x:t>
  </x:si>
  <x:si>
    <x:t>AN  063174     00</x:t>
  </x:si>
  <x:si>
    <x:t>AURIOL SA</x:t>
  </x:si>
  <x:si>
    <x:t>AN  063177     00</x:t>
  </x:si>
  <x:si>
    <x:t>EURENCO</x:t>
  </x:si>
  <x:si>
    <x:t>AN  063180     00</x:t>
  </x:si>
  <x:si>
    <x:t>AN  063202     00</x:t>
  </x:si>
  <x:si>
    <x:t>BULKIT SAS</x:t>
  </x:si>
  <x:si>
    <x:t>AN  063204     00</x:t>
  </x:si>
  <x:si>
    <x:t>SOGAD</x:t>
  </x:si>
  <x:si>
    <x:t>AN  063217     00</x:t>
  </x:si>
  <x:si>
    <x:t>FROMAGERIES DES CHAUMES</x:t>
  </x:si>
  <x:si>
    <x:t>AN  063224     00</x:t>
  </x:si>
  <x:si>
    <x:t>PONTHIER SA</x:t>
  </x:si>
  <x:si>
    <x:t>AN  063240     00</x:t>
  </x:si>
  <x:si>
    <x:t>CREUZET AERONAUTIQUE</x:t>
  </x:si>
  <x:si>
    <x:t>AN  063242     00</x:t>
  </x:si>
  <x:si>
    <x:t>DEUERER PETCARE FRANCE</x:t>
  </x:si>
  <x:si>
    <x:t>AN  063244     00</x:t>
  </x:si>
  <x:si>
    <x:t>BLEDINA</x:t>
  </x:si>
  <x:si>
    <x:t>AN  063246     00</x:t>
  </x:si>
  <x:si>
    <x:t>AN  063265     00</x:t>
  </x:si>
  <x:si>
    <x:t>MAISON BRIAU </x:t>
  </x:si>
  <x:si>
    <x:t>AN  063268     00</x:t>
  </x:si>
  <x:si>
    <x:t>AN  063278     00</x:t>
  </x:si>
  <x:si>
    <x:t>CALVET SARL</x:t>
  </x:si>
  <x:si>
    <x:t>AR  063131     00</x:t>
  </x:si>
  <x:si>
    <x:t>AR  063176     00</x:t>
  </x:si>
  <x:si>
    <x:t>LOT &amp; GARONNE ENROBES</x:t>
  </x:si>
</x:sst>
</file>

<file path=xl/styles.xml><?xml version="1.0" encoding="utf-8"?>
<x:styleSheet xmlns:x="http://schemas.openxmlformats.org/spreadsheetml/2006/main">
  <x:numFmts>
    <x:numFmt numFmtId="164" formatCode="0"/>
    <x:numFmt numFmtId="165" formatCode="dd/MM/yy"/>
    <x:numFmt numFmtId="166" formatCode="#,##0.00;-#,##0.00; ;"/>
  </x:numFmts>
  <x:fonts>
    <x:font>
      <x:b val="0"/>
      <x:i val="0"/>
      <x:strike val="0"/>
      <x:u val="none"/>
      <x:sz val="11"/>
      <x:color rgb="00000000"/>
      <x:name val="Calibri"/>
      <x:charset val="1"/>
    </x:font>
  </x:fonts>
  <x:fills>
    <x:fill>
      <x:patternFill patternType="none">
        <x:fgColor rgb="00000000"/>
        <x:bgColor rgb="00000000"/>
      </x:patternFill>
    </x:fill>
    <x:fill>
      <x:patternFill patternType="gray125">
        <x:fgColor rgb="00000000"/>
        <x:bgColor rgb="00000000"/>
      </x:patternFill>
    </x:fill>
  </x:fills>
  <x:borders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thin">
        <x:color rgb="00000000"/>
      </x:diagonal>
    </x:border>
  </x:borders>
  <x:cellStyleXfs>
    <x:xf/>
  </x:cellStyleXfs>
  <x:cellXfs>
    <x:xf numFmtId="0" fontId="0" fillId="0" borderId="0" xfId="0" applyNumberFormat="1" applyFont="1" applyFill="1" applyBorder="1" applyAlignmen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</x:cellXfs>
  <x:cellStyles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/Relationships>
</file>

<file path=xl/worksheets/sheet.xml><?xml version="1.0" encoding="utf-8"?>
<x:worksheet xmlns:x="http://schemas.openxmlformats.org/spreadsheetml/2006/main">
  <x:cols>
    <x:col min="1" max="1" width="6.6531167073892945" customWidth="1"/>
    <x:col min="2" max="2" width="5.6531167073892945" customWidth="1"/>
    <x:col min="3" max="3" width="11.653116707389295" customWidth="1"/>
    <x:col min="4" max="4" width="18.653116707389295" customWidth="1"/>
    <x:col min="5" max="5" width="13.653116707389295" customWidth="1"/>
    <x:col min="6" max="6" width="33.653116707389295" customWidth="1"/>
    <x:col min="7" max="7" width="14.653116707389295" customWidth="1"/>
    <x:col min="8" max="8" width="13.653116707389295" customWidth="1"/>
    <x:col min="9" max="9" width="10.653116707389295" customWidth="1"/>
    <x:col min="10" max="10" width="11.653116707389295" customWidth="1"/>
    <x:col min="11" max="11" width="13.653116707389295" customWidth="1"/>
    <x:col min="12" max="12" width="7.6531167073892945" customWidth="1"/>
    <x:col min="13" max="13" width="10.653116707389295" customWidth="1"/>
    <x:col min="14" max="14" width="10.653116707389295" customWidth="1"/>
    <x:col min="15" max="15" width="13.653116707389295" customWidth="1"/>
    <x:col min="16" max="16" width="7.653116707389294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 s="1" t="n">
        <x:v>2026</x:v>
      </x:c>
      <x:c r="B2" t="s">
        <x:v>16</x:v>
      </x:c>
      <x:c r="C2" t="s">
        <x:v>17</x:v>
      </x:c>
      <x:c r="D2" t="s">
        <x:v>18</x:v>
      </x:c>
      <x:c r="E2" t="s">
        <x:v>19</x:v>
      </x:c>
      <x:c r="F2" t="s">
        <x:v>20</x:v>
      </x:c>
      <x:c r="G2" s="2" t="d">
        <x:f>46034</x:f>
      </x:c>
      <x:c r="H2" t="s">
        <x:v>21</x:v>
      </x:c>
      <x:c r="I2" s="3" t="n">
        <x:v>406.3</x:v>
      </x:c>
      <x:c r="J2" s="3" t="n">
        <x:v>194.1</x:v>
      </x:c>
      <x:c r="K2" s="3" t="n">
        <x:v>212.2</x:v>
      </x:c>
      <x:c r="L2" s="3" t="n">
        <x:v>52.23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</x:row>
    <x:row r="3">
      <x:c r="A3" s="1" t="n">
        <x:v>2026</x:v>
      </x:c>
      <x:c r="B3" t="s">
        <x:v>16</x:v>
      </x:c>
      <x:c r="C3" t="s">
        <x:v>22</x:v>
      </x:c>
      <x:c r="D3" t="s">
        <x:v>23</x:v>
      </x:c>
      <x:c r="E3" t="s">
        <x:v>19</x:v>
      </x:c>
      <x:c r="F3" t="s">
        <x:v>24</x:v>
      </x:c>
      <x:c r="G3" s="2" t="d">
        <x:f>46027</x:f>
      </x:c>
      <x:c r="H3" t="s">
        <x:v>21</x:v>
      </x:c>
      <x:c r="I3" s="3" t="n">
        <x:v>95</x:v>
      </x:c>
      <x:c r="J3" s="3" t="n">
        <x:v>17</x:v>
      </x:c>
      <x:c r="K3" s="3" t="n">
        <x:v>78</x:v>
      </x:c>
      <x:c r="L3" s="3" t="n">
        <x:v>82.11</x:v>
      </x:c>
      <x:c r="M3" s="3" t="n">
        <x:v>95</x:v>
      </x:c>
      <x:c r="N3" s="3" t="n">
        <x:v>17</x:v>
      </x:c>
      <x:c r="O3" s="3" t="n">
        <x:v>78</x:v>
      </x:c>
      <x:c r="P3" s="3" t="n">
        <x:v>82.11</x:v>
      </x:c>
    </x:row>
    <x:row r="4">
      <x:c r="A4" s="1" t="n">
        <x:v>2026</x:v>
      </x:c>
      <x:c r="B4" t="s">
        <x:v>16</x:v>
      </x:c>
      <x:c r="C4" t="s">
        <x:v>22</x:v>
      </x:c>
      <x:c r="D4" t="s">
        <x:v>25</x:v>
      </x:c>
      <x:c r="E4" t="s">
        <x:v>19</x:v>
      </x:c>
      <x:c r="F4" t="s">
        <x:v>24</x:v>
      </x:c>
      <x:c r="G4" s="2" t="d">
        <x:f>46027</x:f>
      </x:c>
      <x:c r="H4" t="s">
        <x:v>21</x:v>
      </x:c>
      <x:c r="I4" s="3" t="n">
        <x:v>315</x:v>
      </x:c>
      <x:c r="J4" s="3" t="n">
        <x:v>17</x:v>
      </x:c>
      <x:c r="K4" s="3" t="n">
        <x:v>298</x:v>
      </x:c>
      <x:c r="L4" s="3" t="n">
        <x:v>94.6</x:v>
      </x:c>
      <x:c r="M4" s="3" t="n">
        <x:v>315</x:v>
      </x:c>
      <x:c r="N4" s="3" t="n">
        <x:v>17</x:v>
      </x:c>
      <x:c r="O4" s="3" t="n">
        <x:v>298</x:v>
      </x:c>
      <x:c r="P4" s="3" t="n">
        <x:v>94.6</x:v>
      </x:c>
    </x:row>
    <x:row r="5">
      <x:c r="A5" s="1" t="n">
        <x:v>2026</x:v>
      </x:c>
      <x:c r="B5" t="s">
        <x:v>16</x:v>
      </x:c>
      <x:c r="C5" t="s">
        <x:v>22</x:v>
      </x:c>
      <x:c r="D5" t="s">
        <x:v>26</x:v>
      </x:c>
      <x:c r="E5" t="s">
        <x:v>19</x:v>
      </x:c>
      <x:c r="F5" t="s">
        <x:v>27</x:v>
      </x:c>
      <x:c r="G5" s="2" t="d">
        <x:f>46028</x:f>
      </x:c>
      <x:c r="H5" t="s">
        <x:v>21</x:v>
      </x:c>
      <x:c r="I5" s="3" t="n">
        <x:v>1467</x:v>
      </x:c>
      <x:c r="J5" s="3" t="n">
        <x:v>713.67</x:v>
      </x:c>
      <x:c r="K5" s="3" t="n">
        <x:v>753.33</x:v>
      </x:c>
      <x:c r="L5" s="3" t="n">
        <x:v>51.35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</x:row>
    <x:row r="6">
      <x:c r="A6" s="1" t="n">
        <x:v>2026</x:v>
      </x:c>
      <x:c r="B6" t="s">
        <x:v>16</x:v>
      </x:c>
      <x:c r="C6" t="s">
        <x:v>22</x:v>
      </x:c>
      <x:c r="D6" t="s">
        <x:v>28</x:v>
      </x:c>
      <x:c r="E6" t="s">
        <x:v>19</x:v>
      </x:c>
      <x:c r="F6" t="s">
        <x:v>27</x:v>
      </x:c>
      <x:c r="G6" s="2" t="d">
        <x:f>46034</x:f>
      </x:c>
      <x:c r="H6" t="s">
        <x:v>21</x:v>
      </x:c>
      <x:c r="I6" s="3" t="n">
        <x:v>2681.25</x:v>
      </x:c>
      <x:c r="J6" s="3" t="n">
        <x:v>898.2</x:v>
      </x:c>
      <x:c r="K6" s="3" t="n">
        <x:v>1783.05</x:v>
      </x:c>
      <x:c r="L6" s="3" t="n">
        <x:v>66.5</x:v>
      </x:c>
      <x:c r="M6" s="3" t="n">
        <x:v>1430</x:v>
      </x:c>
      <x:c r="N6" s="3" t="n">
        <x:v>2545.4</x:v>
      </x:c>
      <x:c r="O6" s="3" t="n">
        <x:v>-1115.4</x:v>
      </x:c>
      <x:c r="P6" s="3" t="n">
        <x:v>-78</x:v>
      </x:c>
    </x:row>
    <x:row r="7">
      <x:c r="A7" s="1" t="n">
        <x:v>2026</x:v>
      </x:c>
      <x:c r="B7" t="s">
        <x:v>16</x:v>
      </x:c>
      <x:c r="C7" t="s">
        <x:v>22</x:v>
      </x:c>
      <x:c r="D7" t="s">
        <x:v>29</x:v>
      </x:c>
      <x:c r="E7" t="s">
        <x:v>19</x:v>
      </x:c>
      <x:c r="F7" t="s">
        <x:v>30</x:v>
      </x:c>
      <x:c r="G7" s="2" t="d">
        <x:f>46035</x:f>
      </x:c>
      <x:c r="H7" t="s">
        <x:v>21</x:v>
      </x:c>
      <x:c r="I7" s="3" t="n">
        <x:v>76</x:v>
      </x:c>
      <x:c r="J7" s="3" t="n">
        <x:v>64</x:v>
      </x:c>
      <x:c r="K7" s="3" t="n">
        <x:v>12</x:v>
      </x:c>
      <x:c r="L7" s="3" t="n">
        <x:v>15.79</x:v>
      </x:c>
      <x:c r="M7" s="3" t="n">
        <x:v>76</x:v>
      </x:c>
      <x:c r="N7" s="3" t="n">
        <x:v>64</x:v>
      </x:c>
      <x:c r="O7" s="3" t="n">
        <x:v>12</x:v>
      </x:c>
      <x:c r="P7" s="3" t="n">
        <x:v>15.79</x:v>
      </x:c>
    </x:row>
    <x:row r="8">
      <x:c r="A8" s="1" t="n">
        <x:v>2026</x:v>
      </x:c>
      <x:c r="B8" t="s">
        <x:v>16</x:v>
      </x:c>
      <x:c r="C8" t="s">
        <x:v>22</x:v>
      </x:c>
      <x:c r="D8" t="s">
        <x:v>31</x:v>
      </x:c>
      <x:c r="E8" t="s">
        <x:v>19</x:v>
      </x:c>
      <x:c r="F8" t="s">
        <x:v>27</x:v>
      </x:c>
      <x:c r="G8" s="2" t="d">
        <x:f>46042</x:f>
      </x:c>
      <x:c r="H8" t="s">
        <x:v>21</x:v>
      </x:c>
      <x:c r="I8" s="3" t="n">
        <x:v>1795.6</x:v>
      </x:c>
      <x:c r="J8" s="3" t="n">
        <x:v>953.49</x:v>
      </x:c>
      <x:c r="K8" s="3" t="n">
        <x:v>842.11</x:v>
      </x:c>
      <x:c r="L8" s="3" t="n">
        <x:v>46.9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</x:row>
    <x:row r="9">
      <x:c r="A9" s="1" t="n">
        <x:v>2026</x:v>
      </x:c>
      <x:c r="B9" t="s">
        <x:v>16</x:v>
      </x:c>
      <x:c r="C9" t="s">
        <x:v>22</x:v>
      </x:c>
      <x:c r="D9" t="s">
        <x:v>32</x:v>
      </x:c>
      <x:c r="E9" t="s">
        <x:v>19</x:v>
      </x:c>
      <x:c r="F9" t="s">
        <x:v>27</x:v>
      </x:c>
      <x:c r="G9" s="2" t="d">
        <x:f>46042</x:f>
      </x:c>
      <x:c r="H9" t="s">
        <x:v>21</x:v>
      </x:c>
      <x:c r="I9" s="3" t="n">
        <x:v>906.1</x:v>
      </x:c>
      <x:c r="J9" s="3" t="n">
        <x:v>481.25</x:v>
      </x:c>
      <x:c r="K9" s="3" t="n">
        <x:v>424.85</x:v>
      </x:c>
      <x:c r="L9" s="3" t="n">
        <x:v>46.89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</x:row>
    <x:row r="10">
      <x:c r="A10" s="1" t="n">
        <x:v>2026</x:v>
      </x:c>
      <x:c r="B10" t="s">
        <x:v>16</x:v>
      </x:c>
      <x:c r="C10" t="s">
        <x:v>22</x:v>
      </x:c>
      <x:c r="D10" t="s">
        <x:v>33</x:v>
      </x:c>
      <x:c r="E10" t="s">
        <x:v>19</x:v>
      </x:c>
      <x:c r="F10" t="s">
        <x:v>27</x:v>
      </x:c>
      <x:c r="G10" s="2" t="d">
        <x:f>46043</x:f>
      </x:c>
      <x:c r="H10" t="s">
        <x:v>21</x:v>
      </x:c>
      <x:c r="I10" s="3" t="n">
        <x:v>785</x:v>
      </x:c>
      <x:c r="J10" s="3" t="n">
        <x:v>406.69</x:v>
      </x:c>
      <x:c r="K10" s="3" t="n">
        <x:v>378.31</x:v>
      </x:c>
      <x:c r="L10" s="3" t="n">
        <x:v>48.19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</x:row>
    <x:row r="11">
      <x:c r="A11" s="1" t="n">
        <x:v>2026</x:v>
      </x:c>
      <x:c r="B11" t="s">
        <x:v>16</x:v>
      </x:c>
      <x:c r="C11" t="s">
        <x:v>22</x:v>
      </x:c>
      <x:c r="D11" t="s">
        <x:v>34</x:v>
      </x:c>
      <x:c r="E11" t="s">
        <x:v>19</x:v>
      </x:c>
      <x:c r="F11" t="s">
        <x:v>27</x:v>
      </x:c>
      <x:c r="G11" s="2" t="d">
        <x:f>46043</x:f>
      </x:c>
      <x:c r="H11" t="s">
        <x:v>21</x:v>
      </x:c>
      <x:c r="I11" s="3" t="n">
        <x:v>3726</x:v>
      </x:c>
      <x:c r="J11" s="3" t="n">
        <x:v>1587.47</x:v>
      </x:c>
      <x:c r="K11" s="3" t="n">
        <x:v>2138.53</x:v>
      </x:c>
      <x:c r="L11" s="3" t="n">
        <x:v>57.39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</x:row>
    <x:row r="12">
      <x:c r="A12" s="1" t="n">
        <x:v>2026</x:v>
      </x:c>
      <x:c r="B12" t="s">
        <x:v>16</x:v>
      </x:c>
      <x:c r="C12" t="s">
        <x:v>22</x:v>
      </x:c>
      <x:c r="D12" t="s">
        <x:v>35</x:v>
      </x:c>
      <x:c r="E12" t="s">
        <x:v>19</x:v>
      </x:c>
      <x:c r="F12" t="s">
        <x:v>27</x:v>
      </x:c>
      <x:c r="G12" s="2" t="d">
        <x:f>46043</x:f>
      </x:c>
      <x:c r="H12" t="s">
        <x:v>21</x:v>
      </x:c>
      <x:c r="I12" s="3" t="n">
        <x:v>413.3</x:v>
      </x:c>
      <x:c r="J12" s="3" t="n">
        <x:v>203.15</x:v>
      </x:c>
      <x:c r="K12" s="3" t="n">
        <x:v>210.15</x:v>
      </x:c>
      <x:c r="L12" s="3" t="n">
        <x:v>50.85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</x:row>
    <x:row r="13">
      <x:c r="A13" s="1" t="n">
        <x:v>2026</x:v>
      </x:c>
      <x:c r="B13" t="s">
        <x:v>16</x:v>
      </x:c>
      <x:c r="C13" t="s">
        <x:v>22</x:v>
      </x:c>
      <x:c r="D13" t="s">
        <x:v>36</x:v>
      </x:c>
      <x:c r="E13" t="s">
        <x:v>19</x:v>
      </x:c>
      <x:c r="F13" t="s">
        <x:v>24</x:v>
      </x:c>
      <x:c r="G13" s="2" t="d">
        <x:f>46043</x:f>
      </x:c>
      <x:c r="H13" t="s">
        <x:v>21</x:v>
      </x:c>
      <x:c r="I13" s="3" t="n">
        <x:v>95</x:v>
      </x:c>
      <x:c r="J13" s="3" t="n">
        <x:v>80</x:v>
      </x:c>
      <x:c r="K13" s="3" t="n">
        <x:v>15</x:v>
      </x:c>
      <x:c r="L13" s="3" t="n">
        <x:v>15.79</x:v>
      </x:c>
      <x:c r="M13" s="3" t="n">
        <x:v>0</x:v>
      </x:c>
      <x:c r="N13" s="3" t="n">
        <x:v>96</x:v>
      </x:c>
      <x:c r="O13" s="3" t="n">
        <x:v>-96</x:v>
      </x:c>
      <x:c r="P13" s="3" t="n">
        <x:v>0</x:v>
      </x:c>
    </x:row>
    <x:row r="14">
      <x:c r="A14" s="1" t="n">
        <x:v>2026</x:v>
      </x:c>
      <x:c r="B14" t="s">
        <x:v>16</x:v>
      </x:c>
      <x:c r="C14" t="s">
        <x:v>22</x:v>
      </x:c>
      <x:c r="D14" t="s">
        <x:v>37</x:v>
      </x:c>
      <x:c r="E14" t="s">
        <x:v>19</x:v>
      </x:c>
      <x:c r="F14" t="s">
        <x:v>24</x:v>
      </x:c>
      <x:c r="G14" s="2" t="d">
        <x:f>46043</x:f>
      </x:c>
      <x:c r="H14" t="s">
        <x:v>21</x:v>
      </x:c>
      <x:c r="I14" s="3" t="n">
        <x:v>95</x:v>
      </x:c>
      <x:c r="J14" s="3" t="n">
        <x:v>80</x:v>
      </x:c>
      <x:c r="K14" s="3" t="n">
        <x:v>15</x:v>
      </x:c>
      <x:c r="L14" s="3" t="n">
        <x:v>15.79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</x:row>
    <x:row r="15">
      <x:c r="A15" s="1" t="n">
        <x:v>2026</x:v>
      </x:c>
      <x:c r="B15" t="s">
        <x:v>16</x:v>
      </x:c>
      <x:c r="C15" t="s">
        <x:v>22</x:v>
      </x:c>
      <x:c r="D15" t="s">
        <x:v>38</x:v>
      </x:c>
      <x:c r="E15" t="s">
        <x:v>19</x:v>
      </x:c>
      <x:c r="F15" t="s">
        <x:v>39</x:v>
      </x:c>
      <x:c r="G15" s="2" t="d">
        <x:f>46037</x:f>
      </x:c>
      <x:c r="H15" t="s">
        <x:v>21</x:v>
      </x:c>
      <x:c r="I15" s="3" t="n">
        <x:v>324.4</x:v>
      </x:c>
      <x:c r="J15" s="3" t="n">
        <x:v>203.45</x:v>
      </x:c>
      <x:c r="K15" s="3" t="n">
        <x:v>120.95</x:v>
      </x:c>
      <x:c r="L15" s="3" t="n">
        <x:v>37.28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</x:row>
    <x:row r="16">
      <x:c r="A16" s="1" t="n">
        <x:v>2026</x:v>
      </x:c>
      <x:c r="B16" t="s">
        <x:v>16</x:v>
      </x:c>
      <x:c r="C16" t="s">
        <x:v>22</x:v>
      </x:c>
      <x:c r="D16" t="s">
        <x:v>40</x:v>
      </x:c>
      <x:c r="E16" t="s">
        <x:v>19</x:v>
      </x:c>
      <x:c r="F16" t="s">
        <x:v>41</x:v>
      </x:c>
      <x:c r="G16" s="2" t="d">
        <x:f>46041</x:f>
      </x:c>
      <x:c r="H16" t="s">
        <x:v>21</x:v>
      </x:c>
      <x:c r="I16" s="3" t="n">
        <x:v>2720.3</x:v>
      </x:c>
      <x:c r="J16" s="3" t="n">
        <x:v>1968.39</x:v>
      </x:c>
      <x:c r="K16" s="3" t="n">
        <x:v>751.91</x:v>
      </x:c>
      <x:c r="L16" s="3" t="n">
        <x:v>27.64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</x:row>
    <x:row r="17">
      <x:c r="A17" s="1" t="n">
        <x:v>2026</x:v>
      </x:c>
      <x:c r="B17" t="s">
        <x:v>16</x:v>
      </x:c>
      <x:c r="C17" t="s">
        <x:v>22</x:v>
      </x:c>
      <x:c r="D17" t="s">
        <x:v>42</x:v>
      </x:c>
      <x:c r="E17" t="s">
        <x:v>19</x:v>
      </x:c>
      <x:c r="F17" t="s">
        <x:v>43</x:v>
      </x:c>
      <x:c r="G17" s="2" t="d">
        <x:f>46042</x:f>
      </x:c>
      <x:c r="H17" t="s">
        <x:v>21</x:v>
      </x:c>
      <x:c r="I17" s="3" t="n">
        <x:v>447.3</x:v>
      </x:c>
      <x:c r="J17" s="3" t="n">
        <x:v>280.59</x:v>
      </x:c>
      <x:c r="K17" s="3" t="n">
        <x:v>166.71</x:v>
      </x:c>
      <x:c r="L17" s="3" t="n">
        <x:v>37.27</x:v>
      </x:c>
      <x:c r="M17" s="3" t="n">
        <x:v>0</x:v>
      </x:c>
      <x:c r="N17" s="3" t="n">
        <x:v>246.59</x:v>
      </x:c>
      <x:c r="O17" s="3" t="n">
        <x:v>-246.59</x:v>
      </x:c>
      <x:c r="P17" s="3" t="n">
        <x:v>0</x:v>
      </x:c>
    </x:row>
    <x:row r="18">
      <x:c r="A18" s="1" t="n">
        <x:v>2026</x:v>
      </x:c>
      <x:c r="B18" t="s">
        <x:v>16</x:v>
      </x:c>
      <x:c r="C18" t="s">
        <x:v>17</x:v>
      </x:c>
      <x:c r="D18" t="s">
        <x:v>44</x:v>
      </x:c>
      <x:c r="E18" t="s">
        <x:v>19</x:v>
      </x:c>
      <x:c r="F18" t="s">
        <x:v>45</x:v>
      </x:c>
      <x:c r="G18" s="2" t="d">
        <x:f>46028</x:f>
      </x:c>
      <x:c r="H18" t="s">
        <x:v>46</x:v>
      </x:c>
      <x:c r="I18" s="3" t="n">
        <x:v>207.75</x:v>
      </x:c>
      <x:c r="J18" s="3" t="n">
        <x:v>136.75</x:v>
      </x:c>
      <x:c r="K18" s="3" t="n">
        <x:v>71</x:v>
      </x:c>
      <x:c r="L18" s="3" t="n">
        <x:v>34.18</x:v>
      </x:c>
      <x:c r="M18" s="3" t="n">
        <x:v>204.55</x:v>
      </x:c>
      <x:c r="N18" s="3" t="n">
        <x:v>136.75</x:v>
      </x:c>
      <x:c r="O18" s="3" t="n">
        <x:v>67.8</x:v>
      </x:c>
      <x:c r="P18" s="3" t="n">
        <x:v>33.15</x:v>
      </x:c>
    </x:row>
    <x:row r="19">
      <x:c r="A19" s="1" t="n">
        <x:v>2026</x:v>
      </x:c>
      <x:c r="B19" t="s">
        <x:v>16</x:v>
      </x:c>
      <x:c r="C19" t="s">
        <x:v>17</x:v>
      </x:c>
      <x:c r="D19" t="s">
        <x:v>47</x:v>
      </x:c>
      <x:c r="E19" t="s">
        <x:v>19</x:v>
      </x:c>
      <x:c r="F19" t="s">
        <x:v>48</x:v>
      </x:c>
      <x:c r="G19" s="2" t="d">
        <x:f>46034</x:f>
      </x:c>
      <x:c r="H19" t="s">
        <x:v>46</x:v>
      </x:c>
      <x:c r="I19" s="3" t="n">
        <x:v>4946.2</x:v>
      </x:c>
      <x:c r="J19" s="3" t="n">
        <x:v>3694.6</x:v>
      </x:c>
      <x:c r="K19" s="3" t="n">
        <x:v>1251.6</x:v>
      </x:c>
      <x:c r="L19" s="3" t="n">
        <x:v>25.3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</x:row>
    <x:row r="20">
      <x:c r="A20" s="1" t="n">
        <x:v>2026</x:v>
      </x:c>
      <x:c r="B20" t="s">
        <x:v>16</x:v>
      </x:c>
      <x:c r="C20" t="s">
        <x:v>17</x:v>
      </x:c>
      <x:c r="D20" t="s">
        <x:v>49</x:v>
      </x:c>
      <x:c r="E20" t="s">
        <x:v>19</x:v>
      </x:c>
      <x:c r="F20" t="s">
        <x:v>45</x:v>
      </x:c>
      <x:c r="G20" s="2" t="d">
        <x:f>46035</x:f>
      </x:c>
      <x:c r="H20" t="s">
        <x:v>46</x:v>
      </x:c>
      <x:c r="I20" s="3" t="n">
        <x:v>239.97</x:v>
      </x:c>
      <x:c r="J20" s="3" t="n">
        <x:v>156.33</x:v>
      </x:c>
      <x:c r="K20" s="3" t="n">
        <x:v>83.64</x:v>
      </x:c>
      <x:c r="L20" s="3" t="n">
        <x:v>34.85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</x:row>
    <x:row r="21">
      <x:c r="A21" s="1" t="n">
        <x:v>2026</x:v>
      </x:c>
      <x:c r="B21" t="s">
        <x:v>16</x:v>
      </x:c>
      <x:c r="C21" t="s">
        <x:v>17</x:v>
      </x:c>
      <x:c r="D21" t="s">
        <x:v>50</x:v>
      </x:c>
      <x:c r="E21" t="s">
        <x:v>19</x:v>
      </x:c>
      <x:c r="F21" t="s">
        <x:v>51</x:v>
      </x:c>
      <x:c r="G21" s="2" t="d">
        <x:f>46036</x:f>
      </x:c>
      <x:c r="H21" t="s">
        <x:v>21</x:v>
      </x:c>
      <x:c r="I21" s="3" t="n">
        <x:v>1456.4</x:v>
      </x:c>
      <x:c r="J21" s="3" t="n">
        <x:v>896.5</x:v>
      </x:c>
      <x:c r="K21" s="3" t="n">
        <x:v>559.9</x:v>
      </x:c>
      <x:c r="L21" s="3" t="n">
        <x:v>38.44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</x:row>
    <x:row r="22">
      <x:c r="A22" s="1" t="n">
        <x:v>2026</x:v>
      </x:c>
      <x:c r="B22" t="s">
        <x:v>16</x:v>
      </x:c>
      <x:c r="C22" t="s">
        <x:v>17</x:v>
      </x:c>
      <x:c r="D22" t="s">
        <x:v>52</x:v>
      </x:c>
      <x:c r="E22" t="s">
        <x:v>19</x:v>
      </x:c>
      <x:c r="F22" t="s">
        <x:v>53</x:v>
      </x:c>
      <x:c r="G22" s="2" t="d">
        <x:f>46038</x:f>
      </x:c>
      <x:c r="H22" t="s">
        <x:v>46</x:v>
      </x:c>
      <x:c r="I22" s="3" t="n">
        <x:v>300</x:v>
      </x:c>
      <x:c r="J22" s="3" t="n">
        <x:v>183.82</x:v>
      </x:c>
      <x:c r="K22" s="3" t="n">
        <x:v>116.18</x:v>
      </x:c>
      <x:c r="L22" s="3" t="n">
        <x:v>38.73</x:v>
      </x:c>
      <x:c r="M22" s="3" t="n">
        <x:v>0</x:v>
      </x:c>
      <x:c r="N22" s="3" t="n">
        <x:v>140.82</x:v>
      </x:c>
      <x:c r="O22" s="3" t="n">
        <x:v>-140.82</x:v>
      </x:c>
      <x:c r="P22" s="3" t="n">
        <x:v>0</x:v>
      </x:c>
    </x:row>
    <x:row r="23">
      <x:c r="A23" s="1" t="n">
        <x:v>2026</x:v>
      </x:c>
      <x:c r="B23" t="s">
        <x:v>16</x:v>
      </x:c>
      <x:c r="C23" t="s">
        <x:v>17</x:v>
      </x:c>
      <x:c r="D23" t="s">
        <x:v>54</x:v>
      </x:c>
      <x:c r="E23" t="s">
        <x:v>19</x:v>
      </x:c>
      <x:c r="F23" t="s">
        <x:v>53</x:v>
      </x:c>
      <x:c r="G23" s="2" t="d">
        <x:f>46042</x:f>
      </x:c>
      <x:c r="H23" t="s">
        <x:v>46</x:v>
      </x:c>
      <x:c r="I23" s="3" t="n">
        <x:v>285</x:v>
      </x:c>
      <x:c r="J23" s="3" t="n">
        <x:v>182.55</x:v>
      </x:c>
      <x:c r="K23" s="3" t="n">
        <x:v>102.45</x:v>
      </x:c>
      <x:c r="L23" s="3" t="n">
        <x:v>35.95</x:v>
      </x:c>
      <x:c r="M23" s="3" t="n">
        <x:v>0</x:v>
      </x:c>
      <x:c r="N23" s="3" t="n">
        <x:v>139.55</x:v>
      </x:c>
      <x:c r="O23" s="3" t="n">
        <x:v>-139.55</x:v>
      </x:c>
      <x:c r="P23" s="3" t="n">
        <x:v>0</x:v>
      </x:c>
    </x:row>
    <x:row r="24">
      <x:c r="A24" s="1" t="n">
        <x:v>2026</x:v>
      </x:c>
      <x:c r="B24" t="s">
        <x:v>16</x:v>
      </x:c>
      <x:c r="C24" t="s">
        <x:v>17</x:v>
      </x:c>
      <x:c r="D24" t="s">
        <x:v>55</x:v>
      </x:c>
      <x:c r="E24" t="s">
        <x:v>19</x:v>
      </x:c>
      <x:c r="F24" t="s">
        <x:v>56</x:v>
      </x:c>
      <x:c r="G24" s="2" t="d">
        <x:f>46045</x:f>
      </x:c>
      <x:c r="H24" t="s">
        <x:v>46</x:v>
      </x:c>
      <x:c r="I24" s="3" t="n">
        <x:v>327.2</x:v>
      </x:c>
      <x:c r="J24" s="3" t="n">
        <x:v>188.88</x:v>
      </x:c>
      <x:c r="K24" s="3" t="n">
        <x:v>138.32</x:v>
      </x:c>
      <x:c r="L24" s="3" t="n">
        <x:v>42.27</x:v>
      </x:c>
      <x:c r="M24" s="3" t="n">
        <x:v>0</x:v>
      </x:c>
      <x:c r="N24" s="3" t="n">
        <x:v>178.88</x:v>
      </x:c>
      <x:c r="O24" s="3" t="n">
        <x:v>-178.88</x:v>
      </x:c>
      <x:c r="P24" s="3" t="n">
        <x:v>0</x:v>
      </x:c>
    </x:row>
    <x:row r="25">
      <x:c r="A25" s="1" t="n">
        <x:v>2026</x:v>
      </x:c>
      <x:c r="B25" t="s">
        <x:v>16</x:v>
      </x:c>
      <x:c r="C25" t="s">
        <x:v>17</x:v>
      </x:c>
      <x:c r="D25" t="s">
        <x:v>57</x:v>
      </x:c>
      <x:c r="E25" t="s">
        <x:v>19</x:v>
      </x:c>
      <x:c r="F25" t="s">
        <x:v>56</x:v>
      </x:c>
      <x:c r="G25" s="2" t="d">
        <x:f>46045</x:f>
      </x:c>
      <x:c r="H25" t="s">
        <x:v>46</x:v>
      </x:c>
      <x:c r="I25" s="3" t="n">
        <x:v>2239.4</x:v>
      </x:c>
      <x:c r="J25" s="3" t="n">
        <x:v>1456.06</x:v>
      </x:c>
      <x:c r="K25" s="3" t="n">
        <x:v>783.34</x:v>
      </x:c>
      <x:c r="L25" s="3" t="n">
        <x:v>34.98</x:v>
      </x:c>
      <x:c r="M25" s="3" t="n">
        <x:v>0</x:v>
      </x:c>
      <x:c r="N25" s="3" t="n">
        <x:v>1401.06</x:v>
      </x:c>
      <x:c r="O25" s="3" t="n">
        <x:v>-1401.06</x:v>
      </x:c>
      <x:c r="P25" s="3" t="n">
        <x:v>0</x:v>
      </x:c>
    </x:row>
    <x:row r="26">
      <x:c r="A26" s="1" t="n">
        <x:v>2026</x:v>
      </x:c>
      <x:c r="B26" t="s">
        <x:v>16</x:v>
      </x:c>
      <x:c r="C26" t="s">
        <x:v>17</x:v>
      </x:c>
      <x:c r="D26" t="s">
        <x:v>58</x:v>
      </x:c>
      <x:c r="E26" t="s">
        <x:v>19</x:v>
      </x:c>
      <x:c r="F26" t="s">
        <x:v>53</x:v>
      </x:c>
      <x:c r="G26" s="2" t="d">
        <x:f>46050</x:f>
      </x:c>
      <x:c r="H26" t="s">
        <x:v>46</x:v>
      </x:c>
      <x:c r="I26" s="3" t="n">
        <x:v>540</x:v>
      </x:c>
      <x:c r="J26" s="3" t="n">
        <x:v>348.54</x:v>
      </x:c>
      <x:c r="K26" s="3" t="n">
        <x:v>191.46</x:v>
      </x:c>
      <x:c r="L26" s="3" t="n">
        <x:v>35.46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</x:row>
    <x:row r="27">
      <x:c r="A27" s="1" t="n">
        <x:v>2026</x:v>
      </x:c>
      <x:c r="B27" t="s">
        <x:v>16</x:v>
      </x:c>
      <x:c r="C27" t="s">
        <x:v>22</x:v>
      </x:c>
      <x:c r="D27" t="s">
        <x:v>59</x:v>
      </x:c>
      <x:c r="E27" t="s">
        <x:v>19</x:v>
      </x:c>
      <x:c r="F27" t="s">
        <x:v>60</x:v>
      </x:c>
      <x:c r="G27" s="2" t="d">
        <x:f>46027</x:f>
      </x:c>
      <x:c r="H27" t="s">
        <x:v>61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301.48</x:v>
      </x:c>
      <x:c r="N27" s="3" t="n">
        <x:v>255.46</x:v>
      </x:c>
      <x:c r="O27" s="3" t="n">
        <x:v>46.02</x:v>
      </x:c>
      <x:c r="P27" s="3" t="n">
        <x:v>15.26</x:v>
      </x:c>
    </x:row>
    <x:row r="28">
      <x:c r="A28" s="1" t="n">
        <x:v>2026</x:v>
      </x:c>
      <x:c r="B28" t="s">
        <x:v>16</x:v>
      </x:c>
      <x:c r="C28" t="s">
        <x:v>62</x:v>
      </x:c>
      <x:c r="D28" t="s">
        <x:v>63</x:v>
      </x:c>
      <x:c r="E28" t="s">
        <x:v>19</x:v>
      </x:c>
      <x:c r="F28" t="s">
        <x:v>64</x:v>
      </x:c>
      <x:c r="G28" s="2" t="d">
        <x:f>46027</x:f>
      </x:c>
      <x:c r="H28" t="s">
        <x:v>46</x:v>
      </x:c>
      <x:c r="I28" s="3" t="n">
        <x:v>150</x:v>
      </x:c>
      <x:c r="J28" s="3" t="n">
        <x:v>86.6</x:v>
      </x:c>
      <x:c r="K28" s="3" t="n">
        <x:v>63.4</x:v>
      </x:c>
      <x:c r="L28" s="3" t="n">
        <x:v>42.27</x:v>
      </x:c>
      <x:c r="M28" s="3" t="n">
        <x:v>150</x:v>
      </x:c>
      <x:c r="N28" s="3" t="n">
        <x:v>86.6</x:v>
      </x:c>
      <x:c r="O28" s="3" t="n">
        <x:v>63.4</x:v>
      </x:c>
      <x:c r="P28" s="3" t="n">
        <x:v>42.27</x:v>
      </x:c>
    </x:row>
    <x:row r="29">
      <x:c r="A29" s="1" t="n">
        <x:v>2026</x:v>
      </x:c>
      <x:c r="B29" t="s">
        <x:v>16</x:v>
      </x:c>
      <x:c r="C29" t="s">
        <x:v>62</x:v>
      </x:c>
      <x:c r="D29" t="s">
        <x:v>65</x:v>
      </x:c>
      <x:c r="E29" t="s">
        <x:v>19</x:v>
      </x:c>
      <x:c r="F29" t="s">
        <x:v>66</x:v>
      </x:c>
      <x:c r="G29" s="2" t="d">
        <x:f>46028</x:f>
      </x:c>
      <x:c r="H29" t="s">
        <x:v>46</x:v>
      </x:c>
      <x:c r="I29" s="3" t="n">
        <x:v>1847.8</x:v>
      </x:c>
      <x:c r="J29" s="3" t="n">
        <x:v>1268.34</x:v>
      </x:c>
      <x:c r="K29" s="3" t="n">
        <x:v>579.46</x:v>
      </x:c>
      <x:c r="L29" s="3" t="n">
        <x:v>31.36</x:v>
      </x:c>
      <x:c r="M29" s="3" t="n">
        <x:v>0</x:v>
      </x:c>
      <x:c r="N29" s="3" t="n">
        <x:v>1256.34</x:v>
      </x:c>
      <x:c r="O29" s="3" t="n">
        <x:v>-1256.34</x:v>
      </x:c>
      <x:c r="P29" s="3" t="n">
        <x:v>0</x:v>
      </x:c>
    </x:row>
    <x:row r="30">
      <x:c r="A30" s="1" t="n">
        <x:v>2026</x:v>
      </x:c>
      <x:c r="B30" t="s">
        <x:v>16</x:v>
      </x:c>
      <x:c r="C30" t="s">
        <x:v>62</x:v>
      </x:c>
      <x:c r="D30" t="s">
        <x:v>67</x:v>
      </x:c>
      <x:c r="E30" t="s">
        <x:v>19</x:v>
      </x:c>
      <x:c r="F30" t="s">
        <x:v>68</x:v>
      </x:c>
      <x:c r="G30" s="2" t="d">
        <x:f>46029</x:f>
      </x:c>
      <x:c r="H30" t="s">
        <x:v>69</x:v>
      </x:c>
      <x:c r="I30" s="3" t="n">
        <x:v>7915</x:v>
      </x:c>
      <x:c r="J30" s="3" t="n">
        <x:v>5699</x:v>
      </x:c>
      <x:c r="K30" s="3" t="n">
        <x:v>2216</x:v>
      </x:c>
      <x:c r="L30" s="3" t="n">
        <x:v>28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</x:row>
    <x:row r="31">
      <x:c r="A31" s="1" t="n">
        <x:v>2026</x:v>
      </x:c>
      <x:c r="B31" t="s">
        <x:v>16</x:v>
      </x:c>
      <x:c r="C31" t="s">
        <x:v>62</x:v>
      </x:c>
      <x:c r="D31" t="s">
        <x:v>70</x:v>
      </x:c>
      <x:c r="E31" t="s">
        <x:v>19</x:v>
      </x:c>
      <x:c r="F31" t="s">
        <x:v>71</x:v>
      </x:c>
      <x:c r="G31" s="2" t="d">
        <x:f>46030</x:f>
      </x:c>
      <x:c r="H31" t="s">
        <x:v>69</x:v>
      </x:c>
      <x:c r="I31" s="3" t="n">
        <x:v>805.2</x:v>
      </x:c>
      <x:c r="J31" s="3" t="n">
        <x:v>505.9</x:v>
      </x:c>
      <x:c r="K31" s="3" t="n">
        <x:v>299.3</x:v>
      </x:c>
      <x:c r="L31" s="3" t="n">
        <x:v>37.17</x:v>
      </x:c>
      <x:c r="M31" s="3" t="n">
        <x:v>802</x:v>
      </x:c>
      <x:c r="N31" s="3" t="n">
        <x:v>505.9</x:v>
      </x:c>
      <x:c r="O31" s="3" t="n">
        <x:v>296.1</x:v>
      </x:c>
      <x:c r="P31" s="3" t="n">
        <x:v>36.92</x:v>
      </x:c>
    </x:row>
    <x:row r="32">
      <x:c r="A32" s="1" t="n">
        <x:v>2026</x:v>
      </x:c>
      <x:c r="B32" t="s">
        <x:v>16</x:v>
      </x:c>
      <x:c r="C32" t="s">
        <x:v>62</x:v>
      </x:c>
      <x:c r="D32" t="s">
        <x:v>72</x:v>
      </x:c>
      <x:c r="E32" t="s">
        <x:v>19</x:v>
      </x:c>
      <x:c r="F32" t="s">
        <x:v>73</x:v>
      </x:c>
      <x:c r="G32" s="2" t="d">
        <x:f>46031</x:f>
      </x:c>
      <x:c r="H32" t="s">
        <x:v>46</x:v>
      </x:c>
      <x:c r="I32" s="3" t="n">
        <x:v>1358.2</x:v>
      </x:c>
      <x:c r="J32" s="3" t="n">
        <x:v>912.08</x:v>
      </x:c>
      <x:c r="K32" s="3" t="n">
        <x:v>446.12</x:v>
      </x:c>
      <x:c r="L32" s="3" t="n">
        <x:v>32.85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</x:row>
    <x:row r="33">
      <x:c r="A33" s="1" t="n">
        <x:v>2026</x:v>
      </x:c>
      <x:c r="B33" t="s">
        <x:v>16</x:v>
      </x:c>
      <x:c r="C33" t="s">
        <x:v>62</x:v>
      </x:c>
      <x:c r="D33" t="s">
        <x:v>74</x:v>
      </x:c>
      <x:c r="E33" t="s">
        <x:v>19</x:v>
      </x:c>
      <x:c r="F33" t="s">
        <x:v>75</x:v>
      </x:c>
      <x:c r="G33" s="2" t="d">
        <x:f>46034</x:f>
      </x:c>
      <x:c r="H33" t="s">
        <x:v>46</x:v>
      </x:c>
      <x:c r="I33" s="3" t="n">
        <x:v>0</x:v>
      </x:c>
      <x:c r="J33" s="3" t="n">
        <x:v>1286.18</x:v>
      </x:c>
      <x:c r="K33" s="3" t="n">
        <x:v>-1286.18</x:v>
      </x:c>
      <x:c r="L33" s="3" t="n">
        <x:v>0</x:v>
      </x:c>
      <x:c r="M33" s="3" t="n">
        <x:v>0</x:v>
      </x:c>
      <x:c r="N33" s="3" t="n">
        <x:v>1251.58</x:v>
      </x:c>
      <x:c r="O33" s="3" t="n">
        <x:v>-1251.58</x:v>
      </x:c>
      <x:c r="P33" s="3" t="n">
        <x:v>0</x:v>
      </x:c>
    </x:row>
    <x:row r="34">
      <x:c r="A34" s="1" t="n">
        <x:v>2026</x:v>
      </x:c>
      <x:c r="B34" t="s">
        <x:v>16</x:v>
      </x:c>
      <x:c r="C34" t="s">
        <x:v>62</x:v>
      </x:c>
      <x:c r="D34" t="s">
        <x:v>76</x:v>
      </x:c>
      <x:c r="E34" t="s">
        <x:v>19</x:v>
      </x:c>
      <x:c r="F34" t="s">
        <x:v>77</x:v>
      </x:c>
      <x:c r="G34" s="2" t="d">
        <x:f>46034</x:f>
      </x:c>
      <x:c r="H34" t="s">
        <x:v>69</x:v>
      </x:c>
      <x:c r="I34" s="3" t="n">
        <x:v>668.4</x:v>
      </x:c>
      <x:c r="J34" s="3" t="n">
        <x:v>422.82</x:v>
      </x:c>
      <x:c r="K34" s="3" t="n">
        <x:v>245.58</x:v>
      </x:c>
      <x:c r="L34" s="3" t="n">
        <x:v>36.74</x:v>
      </x:c>
      <x:c r="M34" s="3" t="n">
        <x:v>665.2</x:v>
      </x:c>
      <x:c r="N34" s="3" t="n">
        <x:v>422.82</x:v>
      </x:c>
      <x:c r="O34" s="3" t="n">
        <x:v>242.38</x:v>
      </x:c>
      <x:c r="P34" s="3" t="n">
        <x:v>36.44</x:v>
      </x:c>
    </x:row>
    <x:row r="35">
      <x:c r="A35" s="1" t="n">
        <x:v>2026</x:v>
      </x:c>
      <x:c r="B35" t="s">
        <x:v>16</x:v>
      </x:c>
      <x:c r="C35" t="s">
        <x:v>62</x:v>
      </x:c>
      <x:c r="D35" t="s">
        <x:v>78</x:v>
      </x:c>
      <x:c r="E35" t="s">
        <x:v>19</x:v>
      </x:c>
      <x:c r="F35" t="s">
        <x:v>79</x:v>
      </x:c>
      <x:c r="G35" s="2" t="d">
        <x:f>46035</x:f>
      </x:c>
      <x:c r="H35" t="s">
        <x:v>69</x:v>
      </x:c>
      <x:c r="I35" s="3" t="n">
        <x:v>159.45</x:v>
      </x:c>
      <x:c r="J35" s="3" t="n">
        <x:v>105.39</x:v>
      </x:c>
      <x:c r="K35" s="3" t="n">
        <x:v>54.06</x:v>
      </x:c>
      <x:c r="L35" s="3" t="n">
        <x:v>33.9</x:v>
      </x:c>
      <x:c r="M35" s="3" t="n">
        <x:v>159.45</x:v>
      </x:c>
      <x:c r="N35" s="3" t="n">
        <x:v>105.39</x:v>
      </x:c>
      <x:c r="O35" s="3" t="n">
        <x:v>54.06</x:v>
      </x:c>
      <x:c r="P35" s="3" t="n">
        <x:v>33.9</x:v>
      </x:c>
    </x:row>
    <x:row r="36">
      <x:c r="A36" s="1" t="n">
        <x:v>2026</x:v>
      </x:c>
      <x:c r="B36" t="s">
        <x:v>16</x:v>
      </x:c>
      <x:c r="C36" t="s">
        <x:v>62</x:v>
      </x:c>
      <x:c r="D36" t="s">
        <x:v>80</x:v>
      </x:c>
      <x:c r="E36" t="s">
        <x:v>19</x:v>
      </x:c>
      <x:c r="F36" t="s">
        <x:v>81</x:v>
      </x:c>
      <x:c r="G36" s="2" t="d">
        <x:f>46036</x:f>
      </x:c>
      <x:c r="H36" t="s">
        <x:v>69</x:v>
      </x:c>
      <x:c r="I36" s="3" t="n">
        <x:v>370.52</x:v>
      </x:c>
      <x:c r="J36" s="3" t="n">
        <x:v>146.85</x:v>
      </x:c>
      <x:c r="K36" s="3" t="n">
        <x:v>223.67</x:v>
      </x:c>
      <x:c r="L36" s="3" t="n">
        <x:v>60.37</x:v>
      </x:c>
      <x:c r="M36" s="3" t="n">
        <x:v>367.32</x:v>
      </x:c>
      <x:c r="N36" s="3" t="n">
        <x:v>146.85</x:v>
      </x:c>
      <x:c r="O36" s="3" t="n">
        <x:v>220.47</x:v>
      </x:c>
      <x:c r="P36" s="3" t="n">
        <x:v>60.02</x:v>
      </x:c>
    </x:row>
    <x:row r="37">
      <x:c r="A37" s="1" t="n">
        <x:v>2026</x:v>
      </x:c>
      <x:c r="B37" t="s">
        <x:v>16</x:v>
      </x:c>
      <x:c r="C37" t="s">
        <x:v>62</x:v>
      </x:c>
      <x:c r="D37" t="s">
        <x:v>82</x:v>
      </x:c>
      <x:c r="E37" t="s">
        <x:v>19</x:v>
      </x:c>
      <x:c r="F37" t="s">
        <x:v>83</x:v>
      </x:c>
      <x:c r="G37" s="2" t="d">
        <x:f>46036</x:f>
      </x:c>
      <x:c r="H37" t="s">
        <x:v>46</x:v>
      </x:c>
      <x:c r="I37" s="3" t="n">
        <x:v>556.4</x:v>
      </x:c>
      <x:c r="J37" s="3" t="n">
        <x:v>376.9</x:v>
      </x:c>
      <x:c r="K37" s="3" t="n">
        <x:v>179.5</x:v>
      </x:c>
      <x:c r="L37" s="3" t="n">
        <x:v>32.26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</x:row>
    <x:row r="38">
      <x:c r="A38" s="1" t="n">
        <x:v>2026</x:v>
      </x:c>
      <x:c r="B38" t="s">
        <x:v>16</x:v>
      </x:c>
      <x:c r="C38" t="s">
        <x:v>62</x:v>
      </x:c>
      <x:c r="D38" t="s">
        <x:v>84</x:v>
      </x:c>
      <x:c r="E38" t="s">
        <x:v>19</x:v>
      </x:c>
      <x:c r="F38" t="s">
        <x:v>85</x:v>
      </x:c>
      <x:c r="G38" s="2" t="d">
        <x:f>46041</x:f>
      </x:c>
      <x:c r="H38" t="s">
        <x:v>69</x:v>
      </x:c>
      <x:c r="I38" s="3" t="n">
        <x:v>1266.16</x:v>
      </x:c>
      <x:c r="J38" s="3" t="n">
        <x:v>850.16</x:v>
      </x:c>
      <x:c r="K38" s="3" t="n">
        <x:v>416</x:v>
      </x:c>
      <x:c r="L38" s="3" t="n">
        <x:v>32.86</x:v>
      </x:c>
      <x:c r="M38" s="3" t="n">
        <x:v>1266.16</x:v>
      </x:c>
      <x:c r="N38" s="3" t="n">
        <x:v>850.16</x:v>
      </x:c>
      <x:c r="O38" s="3" t="n">
        <x:v>416</x:v>
      </x:c>
      <x:c r="P38" s="3" t="n">
        <x:v>32.86</x:v>
      </x:c>
    </x:row>
    <x:row r="39">
      <x:c r="A39" s="1" t="n">
        <x:v>2026</x:v>
      </x:c>
      <x:c r="B39" t="s">
        <x:v>16</x:v>
      </x:c>
      <x:c r="C39" t="s">
        <x:v>62</x:v>
      </x:c>
      <x:c r="D39" t="s">
        <x:v>86</x:v>
      </x:c>
      <x:c r="E39" t="s">
        <x:v>19</x:v>
      </x:c>
      <x:c r="F39" t="s">
        <x:v>87</x:v>
      </x:c>
      <x:c r="G39" s="2" t="d">
        <x:f>46041</x:f>
      </x:c>
      <x:c r="H39" t="s">
        <x:v>69</x:v>
      </x:c>
      <x:c r="I39" s="3" t="n">
        <x:v>165.4</x:v>
      </x:c>
      <x:c r="J39" s="3" t="n">
        <x:v>97.6</x:v>
      </x:c>
      <x:c r="K39" s="3" t="n">
        <x:v>67.8</x:v>
      </x:c>
      <x:c r="L39" s="3" t="n">
        <x:v>40.99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</x:row>
    <x:row r="40">
      <x:c r="A40" s="1" t="n">
        <x:v>2026</x:v>
      </x:c>
      <x:c r="B40" t="s">
        <x:v>16</x:v>
      </x:c>
      <x:c r="C40" t="s">
        <x:v>62</x:v>
      </x:c>
      <x:c r="D40" t="s">
        <x:v>88</x:v>
      </x:c>
      <x:c r="E40" t="s">
        <x:v>19</x:v>
      </x:c>
      <x:c r="F40" t="s">
        <x:v>89</x:v>
      </x:c>
      <x:c r="G40" s="2" t="d">
        <x:f>46041</x:f>
      </x:c>
      <x:c r="H40" t="s">
        <x:v>69</x:v>
      </x:c>
      <x:c r="I40" s="3" t="n">
        <x:v>306.7</x:v>
      </x:c>
      <x:c r="J40" s="3" t="n">
        <x:v>179.8</x:v>
      </x:c>
      <x:c r="K40" s="3" t="n">
        <x:v>126.9</x:v>
      </x:c>
      <x:c r="L40" s="3" t="n">
        <x:v>41.38</x:v>
      </x:c>
      <x:c r="M40" s="3" t="n">
        <x:v>306.7</x:v>
      </x:c>
      <x:c r="N40" s="3" t="n">
        <x:v>179.8</x:v>
      </x:c>
      <x:c r="O40" s="3" t="n">
        <x:v>126.9</x:v>
      </x:c>
      <x:c r="P40" s="3" t="n">
        <x:v>41.38</x:v>
      </x:c>
    </x:row>
    <x:row r="41">
      <x:c r="A41" s="1" t="n">
        <x:v>2026</x:v>
      </x:c>
      <x:c r="B41" t="s">
        <x:v>16</x:v>
      </x:c>
      <x:c r="C41" t="s">
        <x:v>62</x:v>
      </x:c>
      <x:c r="D41" t="s">
        <x:v>90</x:v>
      </x:c>
      <x:c r="E41" t="s">
        <x:v>19</x:v>
      </x:c>
      <x:c r="F41" t="s">
        <x:v>91</x:v>
      </x:c>
      <x:c r="G41" s="2" t="d">
        <x:f>46042</x:f>
      </x:c>
      <x:c r="H41" t="s">
        <x:v>69</x:v>
      </x:c>
      <x:c r="I41" s="3" t="n">
        <x:v>166</x:v>
      </x:c>
      <x:c r="J41" s="3" t="n">
        <x:v>86.6</x:v>
      </x:c>
      <x:c r="K41" s="3" t="n">
        <x:v>79.4</x:v>
      </x:c>
      <x:c r="L41" s="3" t="n">
        <x:v>47.83</x:v>
      </x:c>
      <x:c r="M41" s="3" t="n">
        <x:v>166</x:v>
      </x:c>
      <x:c r="N41" s="3" t="n">
        <x:v>86.6</x:v>
      </x:c>
      <x:c r="O41" s="3" t="n">
        <x:v>79.4</x:v>
      </x:c>
      <x:c r="P41" s="3" t="n">
        <x:v>47.83</x:v>
      </x:c>
    </x:row>
    <x:row r="42">
      <x:c r="A42" s="1" t="n">
        <x:v>2026</x:v>
      </x:c>
      <x:c r="B42" t="s">
        <x:v>16</x:v>
      </x:c>
      <x:c r="C42" t="s">
        <x:v>62</x:v>
      </x:c>
      <x:c r="D42" t="s">
        <x:v>92</x:v>
      </x:c>
      <x:c r="E42" t="s">
        <x:v>19</x:v>
      </x:c>
      <x:c r="F42" t="s">
        <x:v>93</x:v>
      </x:c>
      <x:c r="G42" s="2" t="d">
        <x:f>46042</x:f>
      </x:c>
      <x:c r="H42" t="s">
        <x:v>69</x:v>
      </x:c>
      <x:c r="I42" s="3" t="n">
        <x:v>1469.8</x:v>
      </x:c>
      <x:c r="J42" s="3" t="n">
        <x:v>1010.47</x:v>
      </x:c>
      <x:c r="K42" s="3" t="n">
        <x:v>459.33</x:v>
      </x:c>
      <x:c r="L42" s="3" t="n">
        <x:v>31.25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</x:row>
    <x:row r="43">
      <x:c r="A43" s="1" t="n">
        <x:v>2026</x:v>
      </x:c>
      <x:c r="B43" t="s">
        <x:v>16</x:v>
      </x:c>
      <x:c r="C43" t="s">
        <x:v>62</x:v>
      </x:c>
      <x:c r="D43" t="s">
        <x:v>94</x:v>
      </x:c>
      <x:c r="E43" t="s">
        <x:v>19</x:v>
      </x:c>
      <x:c r="F43" t="s">
        <x:v>64</x:v>
      </x:c>
      <x:c r="G43" s="2" t="d">
        <x:f>46042</x:f>
      </x:c>
      <x:c r="H43" t="s">
        <x:v>46</x:v>
      </x:c>
      <x:c r="I43" s="3" t="n">
        <x:v>150</x:v>
      </x:c>
      <x:c r="J43" s="3" t="n">
        <x:v>107.25</x:v>
      </x:c>
      <x:c r="K43" s="3" t="n">
        <x:v>42.75</x:v>
      </x:c>
      <x:c r="L43" s="3" t="n">
        <x:v>28.5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</x:row>
    <x:row r="44">
      <x:c r="A44" s="1" t="n">
        <x:v>2026</x:v>
      </x:c>
      <x:c r="B44" t="s">
        <x:v>16</x:v>
      </x:c>
      <x:c r="C44" t="s">
        <x:v>62</x:v>
      </x:c>
      <x:c r="D44" t="s">
        <x:v>95</x:v>
      </x:c>
      <x:c r="E44" t="s">
        <x:v>19</x:v>
      </x:c>
      <x:c r="F44" t="s">
        <x:v>96</x:v>
      </x:c>
      <x:c r="G44" s="2" t="d">
        <x:f>46043</x:f>
      </x:c>
      <x:c r="H44" t="s">
        <x:v>46</x:v>
      </x:c>
      <x:c r="I44" s="3" t="n">
        <x:v>340.9</x:v>
      </x:c>
      <x:c r="J44" s="3" t="n">
        <x:v>223.65</x:v>
      </x:c>
      <x:c r="K44" s="3" t="n">
        <x:v>117.25</x:v>
      </x:c>
      <x:c r="L44" s="3" t="n">
        <x:v>34.39</x:v>
      </x:c>
      <x:c r="M44" s="3" t="n">
        <x:v>0</x:v>
      </x:c>
      <x:c r="N44" s="3" t="n">
        <x:v>212.74</x:v>
      </x:c>
      <x:c r="O44" s="3" t="n">
        <x:v>-212.74</x:v>
      </x:c>
      <x:c r="P44" s="3" t="n">
        <x:v>0</x:v>
      </x:c>
    </x:row>
    <x:row r="45">
      <x:c r="A45" s="1" t="n">
        <x:v>2026</x:v>
      </x:c>
      <x:c r="B45" t="s">
        <x:v>16</x:v>
      </x:c>
      <x:c r="C45" t="s">
        <x:v>62</x:v>
      </x:c>
      <x:c r="D45" t="s">
        <x:v>97</x:v>
      </x:c>
      <x:c r="E45" t="s">
        <x:v>19</x:v>
      </x:c>
      <x:c r="F45" t="s">
        <x:v>85</x:v>
      </x:c>
      <x:c r="G45" s="2" t="d">
        <x:f>46043</x:f>
      </x:c>
      <x:c r="H45" t="s">
        <x:v>69</x:v>
      </x:c>
      <x:c r="I45" s="3" t="n">
        <x:v>716.5</x:v>
      </x:c>
      <x:c r="J45" s="3" t="n">
        <x:v>525.78</x:v>
      </x:c>
      <x:c r="K45" s="3" t="n">
        <x:v>190.72</x:v>
      </x:c>
      <x:c r="L45" s="3" t="n">
        <x:v>26.62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</x:row>
    <x:row r="46">
      <x:c r="A46" s="1" t="n">
        <x:v>2026</x:v>
      </x:c>
      <x:c r="B46" t="s">
        <x:v>16</x:v>
      </x:c>
      <x:c r="C46" t="s">
        <x:v>62</x:v>
      </x:c>
      <x:c r="D46" t="s">
        <x:v>98</x:v>
      </x:c>
      <x:c r="E46" t="s">
        <x:v>19</x:v>
      </x:c>
      <x:c r="F46" t="s">
        <x:v>99</x:v>
      </x:c>
      <x:c r="G46" s="2" t="d">
        <x:f>46043</x:f>
      </x:c>
      <x:c r="H46" t="s">
        <x:v>69</x:v>
      </x:c>
      <x:c r="I46" s="3" t="n">
        <x:v>518.6</x:v>
      </x:c>
      <x:c r="J46" s="3" t="n">
        <x:v>333</x:v>
      </x:c>
      <x:c r="K46" s="3" t="n">
        <x:v>185.6</x:v>
      </x:c>
      <x:c r="L46" s="3" t="n">
        <x:v>35.79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</x:row>
    <x:row r="47">
      <x:c r="A47" s="1" t="n">
        <x:v>2026</x:v>
      </x:c>
      <x:c r="B47" t="s">
        <x:v>16</x:v>
      </x:c>
      <x:c r="C47" t="s">
        <x:v>62</x:v>
      </x:c>
      <x:c r="D47" t="s">
        <x:v>100</x:v>
      </x:c>
      <x:c r="E47" t="s">
        <x:v>19</x:v>
      </x:c>
      <x:c r="F47" t="s">
        <x:v>101</x:v>
      </x:c>
      <x:c r="G47" s="2" t="d">
        <x:f>46044</x:f>
      </x:c>
      <x:c r="H47" t="s">
        <x:v>46</x:v>
      </x:c>
      <x:c r="I47" s="3" t="n">
        <x:v>2478.4</x:v>
      </x:c>
      <x:c r="J47" s="3" t="n">
        <x:v>1678.38</x:v>
      </x:c>
      <x:c r="K47" s="3" t="n">
        <x:v>800.02</x:v>
      </x:c>
      <x:c r="L47" s="3" t="n">
        <x:v>32.28</x:v>
      </x:c>
      <x:c r="M47" s="3" t="n">
        <x:v>0</x:v>
      </x:c>
      <x:c r="N47" s="3" t="n">
        <x:v>1669.38</x:v>
      </x:c>
      <x:c r="O47" s="3" t="n">
        <x:v>-1669.38</x:v>
      </x:c>
      <x:c r="P47" s="3" t="n">
        <x:v>0</x:v>
      </x:c>
    </x:row>
    <x:row r="48">
      <x:c r="A48" s="1" t="n">
        <x:v>2026</x:v>
      </x:c>
      <x:c r="B48" t="s">
        <x:v>16</x:v>
      </x:c>
      <x:c r="C48" t="s">
        <x:v>62</x:v>
      </x:c>
      <x:c r="D48" t="s">
        <x:v>102</x:v>
      </x:c>
      <x:c r="E48" t="s">
        <x:v>19</x:v>
      </x:c>
      <x:c r="F48" t="s">
        <x:v>103</x:v>
      </x:c>
      <x:c r="G48" s="2" t="d">
        <x:f>46044</x:f>
      </x:c>
      <x:c r="H48" t="s">
        <x:v>69</x:v>
      </x:c>
      <x:c r="I48" s="3" t="n">
        <x:v>564.2</x:v>
      </x:c>
      <x:c r="J48" s="3" t="n">
        <x:v>359</x:v>
      </x:c>
      <x:c r="K48" s="3" t="n">
        <x:v>205.2</x:v>
      </x:c>
      <x:c r="L48" s="3" t="n">
        <x:v>36.37</x:v>
      </x:c>
      <x:c r="M48" s="3" t="n">
        <x:v>0</x:v>
      </x:c>
      <x:c r="N48" s="3" t="n">
        <x:v>325</x:v>
      </x:c>
      <x:c r="O48" s="3" t="n">
        <x:v>-325</x:v>
      </x:c>
      <x:c r="P48" s="3" t="n">
        <x:v>0</x:v>
      </x:c>
    </x:row>
    <x:row r="49">
      <x:c r="A49" s="1" t="n">
        <x:v>2026</x:v>
      </x:c>
      <x:c r="B49" t="s">
        <x:v>16</x:v>
      </x:c>
      <x:c r="C49" t="s">
        <x:v>62</x:v>
      </x:c>
      <x:c r="D49" t="s">
        <x:v>104</x:v>
      </x:c>
      <x:c r="E49" t="s">
        <x:v>19</x:v>
      </x:c>
      <x:c r="F49" t="s">
        <x:v>105</x:v>
      </x:c>
      <x:c r="G49" s="2" t="d">
        <x:f>46044</x:f>
      </x:c>
      <x:c r="H49" t="s">
        <x:v>46</x:v>
      </x:c>
      <x:c r="I49" s="3" t="n">
        <x:v>462.38</x:v>
      </x:c>
      <x:c r="J49" s="3" t="n">
        <x:v>293.43</x:v>
      </x:c>
      <x:c r="K49" s="3" t="n">
        <x:v>168.95</x:v>
      </x:c>
      <x:c r="L49" s="3" t="n">
        <x:v>36.54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</x:row>
    <x:row r="50">
      <x:c r="A50" s="1" t="n">
        <x:v>2026</x:v>
      </x:c>
      <x:c r="B50" t="s">
        <x:v>16</x:v>
      </x:c>
      <x:c r="C50" t="s">
        <x:v>62</x:v>
      </x:c>
      <x:c r="D50" t="s">
        <x:v>106</x:v>
      </x:c>
      <x:c r="E50" t="s">
        <x:v>19</x:v>
      </x:c>
      <x:c r="F50" t="s">
        <x:v>101</x:v>
      </x:c>
      <x:c r="G50" s="2" t="d">
        <x:f>46044</x:f>
      </x:c>
      <x:c r="H50" t="s">
        <x:v>46</x:v>
      </x:c>
      <x:c r="I50" s="3" t="n">
        <x:v>1024.8</x:v>
      </x:c>
      <x:c r="J50" s="3" t="n">
        <x:v>706.66</x:v>
      </x:c>
      <x:c r="K50" s="3" t="n">
        <x:v>318.14</x:v>
      </x:c>
      <x:c r="L50" s="3" t="n">
        <x:v>31.04</x:v>
      </x:c>
      <x:c r="M50" s="3" t="n">
        <x:v>0</x:v>
      </x:c>
      <x:c r="N50" s="3" t="n">
        <x:v>697.66</x:v>
      </x:c>
      <x:c r="O50" s="3" t="n">
        <x:v>-697.66</x:v>
      </x:c>
      <x:c r="P50" s="3" t="n">
        <x:v>0</x:v>
      </x:c>
    </x:row>
    <x:row r="51">
      <x:c r="A51" s="1" t="n">
        <x:v>2026</x:v>
      </x:c>
      <x:c r="B51" t="s">
        <x:v>16</x:v>
      </x:c>
      <x:c r="C51" t="s">
        <x:v>62</x:v>
      </x:c>
      <x:c r="D51" t="s">
        <x:v>107</x:v>
      </x:c>
      <x:c r="E51" t="s">
        <x:v>19</x:v>
      </x:c>
      <x:c r="F51" t="s">
        <x:v>108</x:v>
      </x:c>
      <x:c r="G51" s="2" t="d">
        <x:f>46044</x:f>
      </x:c>
      <x:c r="H51" t="s">
        <x:v>69</x:v>
      </x:c>
      <x:c r="I51" s="3" t="n">
        <x:v>290.2</x:v>
      </x:c>
      <x:c r="J51" s="3" t="n">
        <x:v>139.3</x:v>
      </x:c>
      <x:c r="K51" s="3" t="n">
        <x:v>150.9</x:v>
      </x:c>
      <x:c r="L51" s="3" t="n">
        <x:v>52</x:v>
      </x:c>
      <x:c r="M51" s="3" t="n">
        <x:v>0</x:v>
      </x:c>
      <x:c r="N51" s="3" t="n">
        <x:v>130.3</x:v>
      </x:c>
      <x:c r="O51" s="3" t="n">
        <x:v>-130.3</x:v>
      </x:c>
      <x:c r="P51" s="3" t="n">
        <x:v>0</x:v>
      </x:c>
    </x:row>
    <x:row r="52">
      <x:c r="A52" s="1" t="n">
        <x:v>2026</x:v>
      </x:c>
      <x:c r="B52" t="s">
        <x:v>16</x:v>
      </x:c>
      <x:c r="C52" t="s">
        <x:v>62</x:v>
      </x:c>
      <x:c r="D52" t="s">
        <x:v>109</x:v>
      </x:c>
      <x:c r="E52" t="s">
        <x:v>19</x:v>
      </x:c>
      <x:c r="F52" t="s">
        <x:v>110</x:v>
      </x:c>
      <x:c r="G52" s="2" t="d">
        <x:f>46049</x:f>
      </x:c>
      <x:c r="H52" t="s">
        <x:v>69</x:v>
      </x:c>
      <x:c r="I52" s="3" t="n">
        <x:v>1880.1</x:v>
      </x:c>
      <x:c r="J52" s="3" t="n">
        <x:v>1273.18</x:v>
      </x:c>
      <x:c r="K52" s="3" t="n">
        <x:v>606.92</x:v>
      </x:c>
      <x:c r="L52" s="3" t="n">
        <x:v>32.28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</x:row>
    <x:row r="53">
      <x:c r="A53" s="1" t="n">
        <x:v>2026</x:v>
      </x:c>
      <x:c r="B53" t="s">
        <x:v>16</x:v>
      </x:c>
      <x:c r="C53" t="s">
        <x:v>62</x:v>
      </x:c>
      <x:c r="D53" t="s">
        <x:v>111</x:v>
      </x:c>
      <x:c r="E53" t="s">
        <x:v>19</x:v>
      </x:c>
      <x:c r="F53" t="s">
        <x:v>85</x:v>
      </x:c>
      <x:c r="G53" s="2" t="d">
        <x:f>46049</x:f>
      </x:c>
      <x:c r="H53" t="s">
        <x:v>69</x:v>
      </x:c>
      <x:c r="I53" s="3" t="n">
        <x:v>1766.2</x:v>
      </x:c>
      <x:c r="J53" s="3" t="n">
        <x:v>1201</x:v>
      </x:c>
      <x:c r="K53" s="3" t="n">
        <x:v>565.2</x:v>
      </x:c>
      <x:c r="L53" s="3" t="n">
        <x:v>32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</x:row>
    <x:row r="54">
      <x:c r="A54" s="1" t="n">
        <x:v>2026</x:v>
      </x:c>
      <x:c r="B54" t="s">
        <x:v>16</x:v>
      </x:c>
      <x:c r="C54" t="s">
        <x:v>62</x:v>
      </x:c>
      <x:c r="D54" t="s">
        <x:v>112</x:v>
      </x:c>
      <x:c r="E54" t="s">
        <x:v>19</x:v>
      </x:c>
      <x:c r="F54" t="s">
        <x:v>89</x:v>
      </x:c>
      <x:c r="G54" s="2" t="d">
        <x:f>46049</x:f>
      </x:c>
      <x:c r="H54" t="s">
        <x:v>69</x:v>
      </x:c>
      <x:c r="I54" s="3" t="n">
        <x:v>1298.6</x:v>
      </x:c>
      <x:c r="J54" s="3" t="n">
        <x:v>876</x:v>
      </x:c>
      <x:c r="K54" s="3" t="n">
        <x:v>422.6</x:v>
      </x:c>
      <x:c r="L54" s="3" t="n">
        <x:v>32.54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</x:row>
    <x:row r="55">
      <x:c r="A55" s="1" t="n">
        <x:v>2026</x:v>
      </x:c>
      <x:c r="B55" t="s">
        <x:v>16</x:v>
      </x:c>
      <x:c r="C55" t="s">
        <x:v>22</x:v>
      </x:c>
      <x:c r="D55" t="s">
        <x:v>113</x:v>
      </x:c>
      <x:c r="E55" t="s">
        <x:v>19</x:v>
      </x:c>
      <x:c r="F55" t="s">
        <x:v>60</x:v>
      </x:c>
      <x:c r="G55" s="2" t="d">
        <x:f>46035</x:f>
      </x:c>
      <x:c r="H55" t="s">
        <x:v>61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56.75</x:v>
      </x:c>
      <x:c r="O55" s="3" t="n">
        <x:v>-56.75</x:v>
      </x:c>
      <x:c r="P55" s="3" t="n">
        <x:v>0</x:v>
      </x:c>
    </x:row>
    <x:row r="56">
      <x:c r="A56" s="1" t="n">
        <x:v>2026</x:v>
      </x:c>
      <x:c r="B56" t="s">
        <x:v>16</x:v>
      </x:c>
      <x:c r="C56" t="s">
        <x:v>22</x:v>
      </x:c>
      <x:c r="D56" t="s">
        <x:v>114</x:v>
      </x:c>
      <x:c r="E56" t="s">
        <x:v>19</x:v>
      </x:c>
      <x:c r="F56" t="s">
        <x:v>60</x:v>
      </x:c>
      <x:c r="G56" s="2" t="d">
        <x:f>46041</x:f>
      </x:c>
      <x:c r="H56" t="s">
        <x:v>61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12</x:v>
      </x:c>
      <x:c r="O56" s="3" t="n">
        <x:v>-12</x:v>
      </x:c>
      <x:c r="P56" s="3" t="n">
        <x:v>0</x:v>
      </x:c>
    </x:row>
    <x:row r="57">
      <x:c r="A57" s="1" t="n">
        <x:v>2026</x:v>
      </x:c>
      <x:c r="B57" t="s">
        <x:v>16</x:v>
      </x:c>
      <x:c r="C57" t="s">
        <x:v>62</x:v>
      </x:c>
      <x:c r="D57" t="s">
        <x:v>115</x:v>
      </x:c>
      <x:c r="E57" t="s">
        <x:v>19</x:v>
      </x:c>
      <x:c r="F57" t="s">
        <x:v>116</x:v>
      </x:c>
      <x:c r="G57" s="2" t="d">
        <x:f>46050</x:f>
      </x:c>
      <x:c r="H57" t="s">
        <x:v>69</x:v>
      </x:c>
      <x:c r="I57" s="3" t="n">
        <x:v>551.6</x:v>
      </x:c>
      <x:c r="J57" s="3" t="n">
        <x:v>380</x:v>
      </x:c>
      <x:c r="K57" s="3" t="n">
        <x:v>171.6</x:v>
      </x:c>
      <x:c r="L57" s="3" t="n">
        <x:v>31.11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</x:row>
    <x:row r="58">
      <x:c r="A58" s="1" t="n">
        <x:v>2026</x:v>
      </x:c>
      <x:c r="B58" t="s">
        <x:v>16</x:v>
      </x:c>
      <x:c r="C58" t="s">
        <x:v>62</x:v>
      </x:c>
      <x:c r="D58" t="s">
        <x:v>117</x:v>
      </x:c>
      <x:c r="E58" t="s">
        <x:v>19</x:v>
      </x:c>
      <x:c r="F58" t="s">
        <x:v>118</x:v>
      </x:c>
      <x:c r="G58" s="2" t="d">
        <x:f>46042</x:f>
      </x:c>
      <x:c r="H58" t="s">
        <x:v>69</x:v>
      </x:c>
      <x:c r="I58" s="3" t="n">
        <x:v>238.2</x:v>
      </x:c>
      <x:c r="J58" s="3" t="n">
        <x:v>116</x:v>
      </x:c>
      <x:c r="K58" s="3" t="n">
        <x:v>122.2</x:v>
      </x:c>
      <x:c r="L58" s="3" t="n">
        <x:v>51.3</x:v>
      </x:c>
      <x:c r="M58" s="3" t="n">
        <x:v>235</x:v>
      </x:c>
      <x:c r="N58" s="3" t="n">
        <x:v>116</x:v>
      </x:c>
      <x:c r="O58" s="3" t="n">
        <x:v>119</x:v>
      </x:c>
      <x:c r="P58" s="3" t="n">
        <x:v>50.64</x:v>
      </x:c>
    </x:row>
    <x:row r="59">
      <x:c r="A59" s="1" t="n">
        <x:v>2026</x:v>
      </x:c>
      <x:c r="B59" t="s">
        <x:v>16</x:v>
      </x:c>
      <x:c r="C59" t="s">
        <x:v>62</x:v>
      </x:c>
      <x:c r="D59" t="s">
        <x:v>119</x:v>
      </x:c>
      <x:c r="E59" t="s">
        <x:v>19</x:v>
      </x:c>
      <x:c r="F59" t="s">
        <x:v>118</x:v>
      </x:c>
      <x:c r="G59" s="2" t="d">
        <x:f>46041</x:f>
      </x:c>
      <x:c r="H59" t="s">
        <x:v>69</x:v>
      </x:c>
      <x:c r="I59" s="3" t="n">
        <x:v>963.2</x:v>
      </x:c>
      <x:c r="J59" s="3" t="n">
        <x:v>458</x:v>
      </x:c>
      <x:c r="K59" s="3" t="n">
        <x:v>505.2</x:v>
      </x:c>
      <x:c r="L59" s="3" t="n">
        <x:v>52.45</x:v>
      </x:c>
      <x:c r="M59" s="3" t="n">
        <x:v>960</x:v>
      </x:c>
      <x:c r="N59" s="3" t="n">
        <x:v>458</x:v>
      </x:c>
      <x:c r="O59" s="3" t="n">
        <x:v>502</x:v>
      </x:c>
      <x:c r="P59" s="3" t="n">
        <x:v>52.29</x:v>
      </x:c>
    </x:row>
    <x:row r="60">
      <x:c r="A60" s="1" t="n">
        <x:v>2026</x:v>
      </x:c>
      <x:c r="B60" t="s">
        <x:v>16</x:v>
      </x:c>
      <x:c r="C60" t="s">
        <x:v>62</x:v>
      </x:c>
      <x:c r="D60" t="s">
        <x:v>120</x:v>
      </x:c>
      <x:c r="E60" t="s">
        <x:v>19</x:v>
      </x:c>
      <x:c r="F60" t="s">
        <x:v>118</x:v>
      </x:c>
      <x:c r="G60" s="2" t="d">
        <x:f>46044</x:f>
      </x:c>
      <x:c r="H60" t="s">
        <x:v>69</x:v>
      </x:c>
      <x:c r="I60" s="3" t="n">
        <x:v>303.2</x:v>
      </x:c>
      <x:c r="J60" s="3" t="n">
        <x:v>147.99</x:v>
      </x:c>
      <x:c r="K60" s="3" t="n">
        <x:v>155.21</x:v>
      </x:c>
      <x:c r="L60" s="3" t="n">
        <x:v>51.19</x:v>
      </x:c>
      <x:c r="M60" s="3" t="n">
        <x:v>0</x:v>
      </x:c>
      <x:c r="N60" s="3" t="n">
        <x:v>147.99</x:v>
      </x:c>
      <x:c r="O60" s="3" t="n">
        <x:v>-147.99</x:v>
      </x:c>
      <x:c r="P60" s="3" t="n">
        <x:v>0</x:v>
      </x:c>
    </x:row>
    <x:row r="61">
      <x:c r="A61" s="1" t="n">
        <x:v>2026</x:v>
      </x:c>
      <x:c r="B61" t="s">
        <x:v>16</x:v>
      </x:c>
      <x:c r="C61" t="s">
        <x:v>121</x:v>
      </x:c>
      <x:c r="D61" t="s">
        <x:v>122</x:v>
      </x:c>
      <x:c r="E61" t="s">
        <x:v>19</x:v>
      </x:c>
      <x:c r="F61" t="s">
        <x:v>123</x:v>
      </x:c>
      <x:c r="G61" s="2" t="d">
        <x:f>46034</x:f>
      </x:c>
      <x:c r="H61" t="s">
        <x:v>46</x:v>
      </x:c>
      <x:c r="I61" s="3" t="n">
        <x:v>2572.5</x:v>
      </x:c>
      <x:c r="J61" s="3" t="n">
        <x:v>1458.98</x:v>
      </x:c>
      <x:c r="K61" s="3" t="n">
        <x:v>1113.52</x:v>
      </x:c>
      <x:c r="L61" s="3" t="n">
        <x:v>43.29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</x:row>
    <x:row r="62">
      <x:c r="A62" s="1" t="n">
        <x:v>2026</x:v>
      </x:c>
      <x:c r="B62" t="s">
        <x:v>16</x:v>
      </x:c>
      <x:c r="C62" t="s">
        <x:v>121</x:v>
      </x:c>
      <x:c r="D62" t="s">
        <x:v>124</x:v>
      </x:c>
      <x:c r="E62" t="s">
        <x:v>19</x:v>
      </x:c>
      <x:c r="F62" t="s">
        <x:v>125</x:v>
      </x:c>
      <x:c r="G62" s="2" t="d">
        <x:f>46027</x:f>
      </x:c>
      <x:c r="H62" t="s">
        <x:v>46</x:v>
      </x:c>
      <x:c r="I62" s="3" t="n">
        <x:v>345</x:v>
      </x:c>
      <x:c r="J62" s="3" t="n">
        <x:v>196.89</x:v>
      </x:c>
      <x:c r="K62" s="3" t="n">
        <x:v>148.11</x:v>
      </x:c>
      <x:c r="L62" s="3" t="n">
        <x:v>42.93</x:v>
      </x:c>
      <x:c r="M62" s="3" t="n">
        <x:v>345</x:v>
      </x:c>
      <x:c r="N62" s="3" t="n">
        <x:v>196.89</x:v>
      </x:c>
      <x:c r="O62" s="3" t="n">
        <x:v>148.11</x:v>
      </x:c>
      <x:c r="P62" s="3" t="n">
        <x:v>42.93</x:v>
      </x:c>
    </x:row>
    <x:row r="63">
      <x:c r="A63" s="1" t="n">
        <x:v>2026</x:v>
      </x:c>
      <x:c r="B63" t="s">
        <x:v>16</x:v>
      </x:c>
      <x:c r="C63" t="s">
        <x:v>121</x:v>
      </x:c>
      <x:c r="D63" t="s">
        <x:v>126</x:v>
      </x:c>
      <x:c r="E63" t="s">
        <x:v>19</x:v>
      </x:c>
      <x:c r="F63" t="s">
        <x:v>125</x:v>
      </x:c>
      <x:c r="G63" s="2" t="d">
        <x:f>46027</x:f>
      </x:c>
      <x:c r="H63" t="s">
        <x:v>46</x:v>
      </x:c>
      <x:c r="I63" s="3" t="n">
        <x:v>899.2</x:v>
      </x:c>
      <x:c r="J63" s="3" t="n">
        <x:v>639.88</x:v>
      </x:c>
      <x:c r="K63" s="3" t="n">
        <x:v>259.32</x:v>
      </x:c>
      <x:c r="L63" s="3" t="n">
        <x:v>28.84</x:v>
      </x:c>
      <x:c r="M63" s="3" t="n">
        <x:v>899.2</x:v>
      </x:c>
      <x:c r="N63" s="3" t="n">
        <x:v>639.88</x:v>
      </x:c>
      <x:c r="O63" s="3" t="n">
        <x:v>259.32</x:v>
      </x:c>
      <x:c r="P63" s="3" t="n">
        <x:v>28.84</x:v>
      </x:c>
    </x:row>
    <x:row r="64">
      <x:c r="A64" s="1" t="n">
        <x:v>2026</x:v>
      </x:c>
      <x:c r="B64" t="s">
        <x:v>16</x:v>
      </x:c>
      <x:c r="C64" t="s">
        <x:v>121</x:v>
      </x:c>
      <x:c r="D64" t="s">
        <x:v>127</x:v>
      </x:c>
      <x:c r="E64" t="s">
        <x:v>19</x:v>
      </x:c>
      <x:c r="F64" t="s">
        <x:v>128</x:v>
      </x:c>
      <x:c r="G64" s="2" t="d">
        <x:f>46028</x:f>
      </x:c>
      <x:c r="H64" t="s">
        <x:v>46</x:v>
      </x:c>
      <x:c r="I64" s="3" t="n">
        <x:v>298.78</x:v>
      </x:c>
      <x:c r="J64" s="3" t="n">
        <x:v>197.2</x:v>
      </x:c>
      <x:c r="K64" s="3" t="n">
        <x:v>101.58</x:v>
      </x:c>
      <x:c r="L64" s="3" t="n">
        <x:v>34</x:v>
      </x:c>
      <x:c r="M64" s="3" t="n">
        <x:v>0</x:v>
      </x:c>
      <x:c r="N64" s="3" t="n">
        <x:v>187.81</x:v>
      </x:c>
      <x:c r="O64" s="3" t="n">
        <x:v>-187.81</x:v>
      </x:c>
      <x:c r="P64" s="3" t="n">
        <x:v>0</x:v>
      </x:c>
    </x:row>
    <x:row r="65">
      <x:c r="A65" s="1" t="n">
        <x:v>2026</x:v>
      </x:c>
      <x:c r="B65" t="s">
        <x:v>16</x:v>
      </x:c>
      <x:c r="C65" t="s">
        <x:v>121</x:v>
      </x:c>
      <x:c r="D65" t="s">
        <x:v>129</x:v>
      </x:c>
      <x:c r="E65" t="s">
        <x:v>19</x:v>
      </x:c>
      <x:c r="F65" t="s">
        <x:v>130</x:v>
      </x:c>
      <x:c r="G65" s="2" t="d">
        <x:f>46028</x:f>
      </x:c>
      <x:c r="H65" t="s">
        <x:v>46</x:v>
      </x:c>
      <x:c r="I65" s="3" t="n">
        <x:v>735</x:v>
      </x:c>
      <x:c r="J65" s="3" t="n">
        <x:v>492.08</x:v>
      </x:c>
      <x:c r="K65" s="3" t="n">
        <x:v>242.92</x:v>
      </x:c>
      <x:c r="L65" s="3" t="n">
        <x:v>33.05</x:v>
      </x:c>
      <x:c r="M65" s="3" t="n">
        <x:v>731.8</x:v>
      </x:c>
      <x:c r="N65" s="3" t="n">
        <x:v>492.08</x:v>
      </x:c>
      <x:c r="O65" s="3" t="n">
        <x:v>239.72</x:v>
      </x:c>
      <x:c r="P65" s="3" t="n">
        <x:v>32.76</x:v>
      </x:c>
    </x:row>
    <x:row r="66">
      <x:c r="A66" s="1" t="n">
        <x:v>2026</x:v>
      </x:c>
      <x:c r="B66" t="s">
        <x:v>16</x:v>
      </x:c>
      <x:c r="C66" t="s">
        <x:v>121</x:v>
      </x:c>
      <x:c r="D66" t="s">
        <x:v>131</x:v>
      </x:c>
      <x:c r="E66" t="s">
        <x:v>19</x:v>
      </x:c>
      <x:c r="F66" t="s">
        <x:v>132</x:v>
      </x:c>
      <x:c r="G66" s="2" t="d">
        <x:f>46028</x:f>
      </x:c>
      <x:c r="H66" t="s">
        <x:v>46</x:v>
      </x:c>
      <x:c r="I66" s="3" t="n">
        <x:v>1857.8</x:v>
      </x:c>
      <x:c r="J66" s="3" t="n">
        <x:v>1251.47</x:v>
      </x:c>
      <x:c r="K66" s="3" t="n">
        <x:v>606.33</x:v>
      </x:c>
      <x:c r="L66" s="3" t="n">
        <x:v>32.64</x:v>
      </x:c>
      <x:c r="M66" s="3" t="n">
        <x:v>0</x:v>
      </x:c>
      <x:c r="N66" s="3" t="n">
        <x:v>1129</x:v>
      </x:c>
      <x:c r="O66" s="3" t="n">
        <x:v>-1129</x:v>
      </x:c>
      <x:c r="P66" s="3" t="n">
        <x:v>0</x:v>
      </x:c>
    </x:row>
    <x:row r="67">
      <x:c r="A67" s="1" t="n">
        <x:v>2026</x:v>
      </x:c>
      <x:c r="B67" t="s">
        <x:v>16</x:v>
      </x:c>
      <x:c r="C67" t="s">
        <x:v>121</x:v>
      </x:c>
      <x:c r="D67" t="s">
        <x:v>133</x:v>
      </x:c>
      <x:c r="E67" t="s">
        <x:v>19</x:v>
      </x:c>
      <x:c r="F67" t="s">
        <x:v>134</x:v>
      </x:c>
      <x:c r="G67" s="2" t="d">
        <x:f>46028</x:f>
      </x:c>
      <x:c r="H67" t="s">
        <x:v>46</x:v>
      </x:c>
      <x:c r="I67" s="3" t="n">
        <x:v>197.2</x:v>
      </x:c>
      <x:c r="J67" s="3" t="n">
        <x:v>104</x:v>
      </x:c>
      <x:c r="K67" s="3" t="n">
        <x:v>93.2</x:v>
      </x:c>
      <x:c r="L67" s="3" t="n">
        <x:v>47.26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</x:row>
    <x:row r="68">
      <x:c r="A68" s="1" t="n">
        <x:v>2026</x:v>
      </x:c>
      <x:c r="B68" t="s">
        <x:v>16</x:v>
      </x:c>
      <x:c r="C68" t="s">
        <x:v>121</x:v>
      </x:c>
      <x:c r="D68" t="s">
        <x:v>135</x:v>
      </x:c>
      <x:c r="E68" t="s">
        <x:v>19</x:v>
      </x:c>
      <x:c r="F68" t="s">
        <x:v>136</x:v>
      </x:c>
      <x:c r="G68" s="2" t="d">
        <x:f>46029</x:f>
      </x:c>
      <x:c r="H68" t="s">
        <x:v>46</x:v>
      </x:c>
      <x:c r="I68" s="3" t="n">
        <x:v>5863.1</x:v>
      </x:c>
      <x:c r="J68" s="3" t="n">
        <x:v>4180.57</x:v>
      </x:c>
      <x:c r="K68" s="3" t="n">
        <x:v>1682.53</x:v>
      </x:c>
      <x:c r="L68" s="3" t="n">
        <x:v>28.7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</x:row>
    <x:row r="69">
      <x:c r="A69" s="1" t="n">
        <x:v>2026</x:v>
      </x:c>
      <x:c r="B69" t="s">
        <x:v>16</x:v>
      </x:c>
      <x:c r="C69" t="s">
        <x:v>121</x:v>
      </x:c>
      <x:c r="D69" t="s">
        <x:v>137</x:v>
      </x:c>
      <x:c r="E69" t="s">
        <x:v>19</x:v>
      </x:c>
      <x:c r="F69" t="s">
        <x:v>138</x:v>
      </x:c>
      <x:c r="G69" s="2" t="d">
        <x:f>46029</x:f>
      </x:c>
      <x:c r="H69" t="s">
        <x:v>46</x:v>
      </x:c>
      <x:c r="I69" s="3" t="n">
        <x:v>5280.4</x:v>
      </x:c>
      <x:c r="J69" s="3" t="n">
        <x:v>3772.76</x:v>
      </x:c>
      <x:c r="K69" s="3" t="n">
        <x:v>1507.64</x:v>
      </x:c>
      <x:c r="L69" s="3" t="n">
        <x:v>28.55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</x:row>
    <x:row r="70">
      <x:c r="A70" s="1" t="n">
        <x:v>2026</x:v>
      </x:c>
      <x:c r="B70" t="s">
        <x:v>16</x:v>
      </x:c>
      <x:c r="C70" t="s">
        <x:v>121</x:v>
      </x:c>
      <x:c r="D70" t="s">
        <x:v>139</x:v>
      </x:c>
      <x:c r="E70" t="s">
        <x:v>19</x:v>
      </x:c>
      <x:c r="F70" t="s">
        <x:v>140</x:v>
      </x:c>
      <x:c r="G70" s="2" t="d">
        <x:f>46030</x:f>
      </x:c>
      <x:c r="H70" t="s">
        <x:v>46</x:v>
      </x:c>
      <x:c r="I70" s="3" t="n">
        <x:v>977.9</x:v>
      </x:c>
      <x:c r="J70" s="3" t="n">
        <x:v>659</x:v>
      </x:c>
      <x:c r="K70" s="3" t="n">
        <x:v>318.9</x:v>
      </x:c>
      <x:c r="L70" s="3" t="n">
        <x:v>32.61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</x:row>
    <x:row r="71">
      <x:c r="A71" s="1" t="n">
        <x:v>2026</x:v>
      </x:c>
      <x:c r="B71" t="s">
        <x:v>16</x:v>
      </x:c>
      <x:c r="C71" t="s">
        <x:v>121</x:v>
      </x:c>
      <x:c r="D71" t="s">
        <x:v>141</x:v>
      </x:c>
      <x:c r="E71" t="s">
        <x:v>19</x:v>
      </x:c>
      <x:c r="F71" t="s">
        <x:v>142</x:v>
      </x:c>
      <x:c r="G71" s="2" t="d">
        <x:f>46031</x:f>
      </x:c>
      <x:c r="H71" t="s">
        <x:v>46</x:v>
      </x:c>
      <x:c r="I71" s="3" t="n">
        <x:v>275.19</x:v>
      </x:c>
      <x:c r="J71" s="3" t="n">
        <x:v>193.88</x:v>
      </x:c>
      <x:c r="K71" s="3" t="n">
        <x:v>81.31</x:v>
      </x:c>
      <x:c r="L71" s="3" t="n">
        <x:v>29.55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</x:row>
    <x:row r="72">
      <x:c r="A72" s="1" t="n">
        <x:v>2026</x:v>
      </x:c>
      <x:c r="B72" t="s">
        <x:v>16</x:v>
      </x:c>
      <x:c r="C72" t="s">
        <x:v>121</x:v>
      </x:c>
      <x:c r="D72" t="s">
        <x:v>143</x:v>
      </x:c>
      <x:c r="E72" t="s">
        <x:v>19</x:v>
      </x:c>
      <x:c r="F72" t="s">
        <x:v>144</x:v>
      </x:c>
      <x:c r="G72" s="2" t="d">
        <x:f>46031</x:f>
      </x:c>
      <x:c r="H72" t="s">
        <x:v>46</x:v>
      </x:c>
      <x:c r="I72" s="3" t="n">
        <x:v>1297.35</x:v>
      </x:c>
      <x:c r="J72" s="3" t="n">
        <x:v>899.5</x:v>
      </x:c>
      <x:c r="K72" s="3" t="n">
        <x:v>397.85</x:v>
      </x:c>
      <x:c r="L72" s="3" t="n">
        <x:v>30.67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</x:row>
    <x:row r="73">
      <x:c r="A73" s="1" t="n">
        <x:v>2026</x:v>
      </x:c>
      <x:c r="B73" t="s">
        <x:v>16</x:v>
      </x:c>
      <x:c r="C73" t="s">
        <x:v>121</x:v>
      </x:c>
      <x:c r="D73" t="s">
        <x:v>145</x:v>
      </x:c>
      <x:c r="E73" t="s">
        <x:v>19</x:v>
      </x:c>
      <x:c r="F73" t="s">
        <x:v>146</x:v>
      </x:c>
      <x:c r="G73" s="2" t="d">
        <x:f>46031</x:f>
      </x:c>
      <x:c r="H73" t="s">
        <x:v>46</x:v>
      </x:c>
      <x:c r="I73" s="3" t="n">
        <x:v>968.31</x:v>
      </x:c>
      <x:c r="J73" s="3" t="n">
        <x:v>658.72</x:v>
      </x:c>
      <x:c r="K73" s="3" t="n">
        <x:v>309.59</x:v>
      </x:c>
      <x:c r="L73" s="3" t="n">
        <x:v>31.97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</x:row>
    <x:row r="74">
      <x:c r="A74" s="1" t="n">
        <x:v>2026</x:v>
      </x:c>
      <x:c r="B74" t="s">
        <x:v>16</x:v>
      </x:c>
      <x:c r="C74" t="s">
        <x:v>121</x:v>
      </x:c>
      <x:c r="D74" t="s">
        <x:v>147</x:v>
      </x:c>
      <x:c r="E74" t="s">
        <x:v>19</x:v>
      </x:c>
      <x:c r="F74" t="s">
        <x:v>148</x:v>
      </x:c>
      <x:c r="G74" s="2" t="d">
        <x:f>46031</x:f>
      </x:c>
      <x:c r="H74" t="s">
        <x:v>46</x:v>
      </x:c>
      <x:c r="I74" s="3" t="n">
        <x:v>175</x:v>
      </x:c>
      <x:c r="J74" s="3" t="n">
        <x:v>74</x:v>
      </x:c>
      <x:c r="K74" s="3" t="n">
        <x:v>101</x:v>
      </x:c>
      <x:c r="L74" s="3" t="n">
        <x:v>57.71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</x:row>
    <x:row r="75">
      <x:c r="A75" s="1" t="n">
        <x:v>2026</x:v>
      </x:c>
      <x:c r="B75" t="s">
        <x:v>16</x:v>
      </x:c>
      <x:c r="C75" t="s">
        <x:v>121</x:v>
      </x:c>
      <x:c r="D75" t="s">
        <x:v>149</x:v>
      </x:c>
      <x:c r="E75" t="s">
        <x:v>19</x:v>
      </x:c>
      <x:c r="F75" t="s">
        <x:v>150</x:v>
      </x:c>
      <x:c r="G75" s="2" t="d">
        <x:f>46034</x:f>
      </x:c>
      <x:c r="H75" t="s">
        <x:v>46</x:v>
      </x:c>
      <x:c r="I75" s="3" t="n">
        <x:v>238.2</x:v>
      </x:c>
      <x:c r="J75" s="3" t="n">
        <x:v>128.98</x:v>
      </x:c>
      <x:c r="K75" s="3" t="n">
        <x:v>109.22</x:v>
      </x:c>
      <x:c r="L75" s="3" t="n">
        <x:v>45.85</x:v>
      </x:c>
      <x:c r="M75" s="3" t="n">
        <x:v>238.2</x:v>
      </x:c>
      <x:c r="N75" s="3" t="n">
        <x:v>128.98</x:v>
      </x:c>
      <x:c r="O75" s="3" t="n">
        <x:v>109.22</x:v>
      </x:c>
      <x:c r="P75" s="3" t="n">
        <x:v>45.85</x:v>
      </x:c>
    </x:row>
    <x:row r="76">
      <x:c r="A76" s="1" t="n">
        <x:v>2026</x:v>
      </x:c>
      <x:c r="B76" t="s">
        <x:v>16</x:v>
      </x:c>
      <x:c r="C76" t="s">
        <x:v>121</x:v>
      </x:c>
      <x:c r="D76" t="s">
        <x:v>151</x:v>
      </x:c>
      <x:c r="E76" t="s">
        <x:v>19</x:v>
      </x:c>
      <x:c r="F76" t="s">
        <x:v>152</x:v>
      </x:c>
      <x:c r="G76" s="2" t="d">
        <x:f>46038</x:f>
      </x:c>
      <x:c r="H76" t="s">
        <x:v>46</x:v>
      </x:c>
      <x:c r="I76" s="3" t="n">
        <x:v>3275.4</x:v>
      </x:c>
      <x:c r="J76" s="3" t="n">
        <x:v>2268.08</x:v>
      </x:c>
      <x:c r="K76" s="3" t="n">
        <x:v>1007.32</x:v>
      </x:c>
      <x:c r="L76" s="3" t="n">
        <x:v>30.75</x:v>
      </x:c>
      <x:c r="M76" s="3" t="n">
        <x:v>0</x:v>
      </x:c>
      <x:c r="N76" s="3" t="n">
        <x:v>2180.08</x:v>
      </x:c>
      <x:c r="O76" s="3" t="n">
        <x:v>-2180.08</x:v>
      </x:c>
      <x:c r="P76" s="3" t="n">
        <x:v>0</x:v>
      </x:c>
    </x:row>
    <x:row r="77">
      <x:c r="A77" s="1" t="n">
        <x:v>2026</x:v>
      </x:c>
      <x:c r="B77" t="s">
        <x:v>16</x:v>
      </x:c>
      <x:c r="C77" t="s">
        <x:v>121</x:v>
      </x:c>
      <x:c r="D77" t="s">
        <x:v>153</x:v>
      </x:c>
      <x:c r="E77" t="s">
        <x:v>19</x:v>
      </x:c>
      <x:c r="F77" t="s">
        <x:v>154</x:v>
      </x:c>
      <x:c r="G77" s="2" t="d">
        <x:f>46038</x:f>
      </x:c>
      <x:c r="H77" t="s">
        <x:v>46</x:v>
      </x:c>
      <x:c r="I77" s="3" t="n">
        <x:v>487</x:v>
      </x:c>
      <x:c r="J77" s="3" t="n">
        <x:v>169.63</x:v>
      </x:c>
      <x:c r="K77" s="3" t="n">
        <x:v>317.38</x:v>
      </x:c>
      <x:c r="L77" s="3" t="n">
        <x:v>65.17</x:v>
      </x:c>
      <x:c r="M77" s="3" t="n">
        <x:v>483.8</x:v>
      </x:c>
      <x:c r="N77" s="3" t="n">
        <x:v>169.63</x:v>
      </x:c>
      <x:c r="O77" s="3" t="n">
        <x:v>314.18</x:v>
      </x:c>
      <x:c r="P77" s="3" t="n">
        <x:v>64.94</x:v>
      </x:c>
    </x:row>
    <x:row r="78">
      <x:c r="A78" s="1" t="n">
        <x:v>2026</x:v>
      </x:c>
      <x:c r="B78" t="s">
        <x:v>16</x:v>
      </x:c>
      <x:c r="C78" t="s">
        <x:v>121</x:v>
      </x:c>
      <x:c r="D78" t="s">
        <x:v>155</x:v>
      </x:c>
      <x:c r="E78" t="s">
        <x:v>19</x:v>
      </x:c>
      <x:c r="F78" t="s">
        <x:v>140</x:v>
      </x:c>
      <x:c r="G78" s="2" t="d">
        <x:f>46038</x:f>
      </x:c>
      <x:c r="H78" t="s">
        <x:v>46</x:v>
      </x:c>
      <x:c r="I78" s="3" t="n">
        <x:v>198.5</x:v>
      </x:c>
      <x:c r="J78" s="3" t="n">
        <x:v>89.65</x:v>
      </x:c>
      <x:c r="K78" s="3" t="n">
        <x:v>108.85</x:v>
      </x:c>
      <x:c r="L78" s="3" t="n">
        <x:v>54.84</x:v>
      </x:c>
      <x:c r="M78" s="3" t="n">
        <x:v>0</x:v>
      </x:c>
      <x:c r="N78" s="3" t="n">
        <x:v>68.15</x:v>
      </x:c>
      <x:c r="O78" s="3" t="n">
        <x:v>-68.15</x:v>
      </x:c>
      <x:c r="P78" s="3" t="n">
        <x:v>0</x:v>
      </x:c>
    </x:row>
    <x:row r="79">
      <x:c r="A79" s="1" t="n">
        <x:v>2026</x:v>
      </x:c>
      <x:c r="B79" t="s">
        <x:v>16</x:v>
      </x:c>
      <x:c r="C79" t="s">
        <x:v>121</x:v>
      </x:c>
      <x:c r="D79" t="s">
        <x:v>156</x:v>
      </x:c>
      <x:c r="E79" t="s">
        <x:v>19</x:v>
      </x:c>
      <x:c r="F79" t="s">
        <x:v>128</x:v>
      </x:c>
      <x:c r="G79" s="2" t="d">
        <x:f>46038</x:f>
      </x:c>
      <x:c r="H79" t="s">
        <x:v>46</x:v>
      </x:c>
      <x:c r="I79" s="3" t="n">
        <x:v>890</x:v>
      </x:c>
      <x:c r="J79" s="3" t="n">
        <x:v>616.84</x:v>
      </x:c>
      <x:c r="K79" s="3" t="n">
        <x:v>273.16</x:v>
      </x:c>
      <x:c r="L79" s="3" t="n">
        <x:v>30.69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</x:row>
    <x:row r="80">
      <x:c r="A80" s="1" t="n">
        <x:v>2026</x:v>
      </x:c>
      <x:c r="B80" t="s">
        <x:v>16</x:v>
      </x:c>
      <x:c r="C80" t="s">
        <x:v>121</x:v>
      </x:c>
      <x:c r="D80" t="s">
        <x:v>157</x:v>
      </x:c>
      <x:c r="E80" t="s">
        <x:v>19</x:v>
      </x:c>
      <x:c r="F80" t="s">
        <x:v>140</x:v>
      </x:c>
      <x:c r="G80" s="2" t="d">
        <x:f>46041</x:f>
      </x:c>
      <x:c r="H80" t="s">
        <x:v>46</x:v>
      </x:c>
      <x:c r="I80" s="3" t="n">
        <x:v>3239</x:v>
      </x:c>
      <x:c r="J80" s="3" t="n">
        <x:v>2202.5</x:v>
      </x:c>
      <x:c r="K80" s="3" t="n">
        <x:v>1036.5</x:v>
      </x:c>
      <x:c r="L80" s="3" t="n">
        <x:v>32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</x:row>
    <x:row r="81">
      <x:c r="A81" s="1" t="n">
        <x:v>2026</x:v>
      </x:c>
      <x:c r="B81" t="s">
        <x:v>16</x:v>
      </x:c>
      <x:c r="C81" t="s">
        <x:v>121</x:v>
      </x:c>
      <x:c r="D81" t="s">
        <x:v>158</x:v>
      </x:c>
      <x:c r="E81" t="s">
        <x:v>19</x:v>
      </x:c>
      <x:c r="F81" t="s">
        <x:v>128</x:v>
      </x:c>
      <x:c r="G81" s="2" t="d">
        <x:f>46041</x:f>
      </x:c>
      <x:c r="H81" t="s">
        <x:v>46</x:v>
      </x:c>
      <x:c r="I81" s="3" t="n">
        <x:v>490</x:v>
      </x:c>
      <x:c r="J81" s="3" t="n">
        <x:v>161.92</x:v>
      </x:c>
      <x:c r="K81" s="3" t="n">
        <x:v>328.08</x:v>
      </x:c>
      <x:c r="L81" s="3" t="n">
        <x:v>66.96</x:v>
      </x:c>
      <x:c r="M81" s="3" t="n">
        <x:v>0</x:v>
      </x:c>
      <x:c r="N81" s="3" t="n">
        <x:v>0</x:v>
      </x:c>
      <x:c r="O81" s="3" t="n">
        <x:v>0</x:v>
      </x:c>
      <x:c r="P81" s="3" t="n">
        <x:v>0</x:v>
      </x:c>
    </x:row>
    <x:row r="82">
      <x:c r="A82" s="1" t="n">
        <x:v>2026</x:v>
      </x:c>
      <x:c r="B82" t="s">
        <x:v>16</x:v>
      </x:c>
      <x:c r="C82" t="s">
        <x:v>121</x:v>
      </x:c>
      <x:c r="D82" t="s">
        <x:v>159</x:v>
      </x:c>
      <x:c r="E82" t="s">
        <x:v>19</x:v>
      </x:c>
      <x:c r="F82" t="s">
        <x:v>128</x:v>
      </x:c>
      <x:c r="G82" s="2" t="d">
        <x:f>46041</x:f>
      </x:c>
      <x:c r="H82" t="s">
        <x:v>46</x:v>
      </x:c>
      <x:c r="I82" s="3" t="n">
        <x:v>473.1</x:v>
      </x:c>
      <x:c r="J82" s="3" t="n">
        <x:v>326.93</x:v>
      </x:c>
      <x:c r="K82" s="3" t="n">
        <x:v>146.17</x:v>
      </x:c>
      <x:c r="L82" s="3" t="n">
        <x:v>30.9</x:v>
      </x:c>
      <x:c r="M82" s="3" t="n">
        <x:v>0</x:v>
      </x:c>
      <x:c r="N82" s="3" t="n">
        <x:v>0</x:v>
      </x:c>
      <x:c r="O82" s="3" t="n">
        <x:v>0</x:v>
      </x:c>
      <x:c r="P82" s="3" t="n">
        <x:v>0</x:v>
      </x:c>
    </x:row>
    <x:row r="83">
      <x:c r="A83" s="1" t="n">
        <x:v>2026</x:v>
      </x:c>
      <x:c r="B83" t="s">
        <x:v>16</x:v>
      </x:c>
      <x:c r="C83" t="s">
        <x:v>121</x:v>
      </x:c>
      <x:c r="D83" t="s">
        <x:v>160</x:v>
      </x:c>
      <x:c r="E83" t="s">
        <x:v>19</x:v>
      </x:c>
      <x:c r="F83" t="s">
        <x:v>161</x:v>
      </x:c>
      <x:c r="G83" s="2" t="d">
        <x:f>46042</x:f>
      </x:c>
      <x:c r="H83" t="s">
        <x:v>46</x:v>
      </x:c>
      <x:c r="I83" s="3" t="n">
        <x:v>1787.6</x:v>
      </x:c>
      <x:c r="J83" s="3" t="n">
        <x:v>893.8</x:v>
      </x:c>
      <x:c r="K83" s="3" t="n">
        <x:v>893.8</x:v>
      </x:c>
      <x:c r="L83" s="3" t="n">
        <x:v>50</x:v>
      </x:c>
      <x:c r="M83" s="3" t="n">
        <x:v>0</x:v>
      </x:c>
      <x:c r="N83" s="3" t="n">
        <x:v>893.8</x:v>
      </x:c>
      <x:c r="O83" s="3" t="n">
        <x:v>-893.8</x:v>
      </x:c>
      <x:c r="P83" s="3" t="n">
        <x:v>0</x:v>
      </x:c>
    </x:row>
    <x:row r="84">
      <x:c r="A84" s="1" t="n">
        <x:v>2026</x:v>
      </x:c>
      <x:c r="B84" t="s">
        <x:v>16</x:v>
      </x:c>
      <x:c r="C84" t="s">
        <x:v>121</x:v>
      </x:c>
      <x:c r="D84" t="s">
        <x:v>162</x:v>
      </x:c>
      <x:c r="E84" t="s">
        <x:v>19</x:v>
      </x:c>
      <x:c r="F84" t="s">
        <x:v>163</x:v>
      </x:c>
      <x:c r="G84" s="2" t="d">
        <x:f>46042</x:f>
      </x:c>
      <x:c r="H84" t="s">
        <x:v>46</x:v>
      </x:c>
      <x:c r="I84" s="3" t="n">
        <x:v>583.2</x:v>
      </x:c>
      <x:c r="J84" s="3" t="n">
        <x:v>232.45</x:v>
      </x:c>
      <x:c r="K84" s="3" t="n">
        <x:v>350.75</x:v>
      </x:c>
      <x:c r="L84" s="3" t="n">
        <x:v>60.14</x:v>
      </x:c>
      <x:c r="M84" s="3" t="n">
        <x:v>580</x:v>
      </x:c>
      <x:c r="N84" s="3" t="n">
        <x:v>232.45</x:v>
      </x:c>
      <x:c r="O84" s="3" t="n">
        <x:v>347.55</x:v>
      </x:c>
      <x:c r="P84" s="3" t="n">
        <x:v>59.92</x:v>
      </x:c>
    </x:row>
    <x:row r="85">
      <x:c r="A85" s="1" t="n">
        <x:v>2026</x:v>
      </x:c>
      <x:c r="B85" t="s">
        <x:v>16</x:v>
      </x:c>
      <x:c r="C85" t="s">
        <x:v>121</x:v>
      </x:c>
      <x:c r="D85" t="s">
        <x:v>164</x:v>
      </x:c>
      <x:c r="E85" t="s">
        <x:v>19</x:v>
      </x:c>
      <x:c r="F85" t="s">
        <x:v>165</x:v>
      </x:c>
      <x:c r="G85" s="2" t="d">
        <x:f>46043</x:f>
      </x:c>
      <x:c r="H85" t="s">
        <x:v>46</x:v>
      </x:c>
      <x:c r="I85" s="3" t="n">
        <x:v>1518.3</x:v>
      </x:c>
      <x:c r="J85" s="3" t="n">
        <x:v>1121.29</x:v>
      </x:c>
      <x:c r="K85" s="3" t="n">
        <x:v>397.01</x:v>
      </x:c>
      <x:c r="L85" s="3" t="n">
        <x:v>26.15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</x:row>
    <x:row r="86">
      <x:c r="A86" s="1" t="n">
        <x:v>2026</x:v>
      </x:c>
      <x:c r="B86" t="s">
        <x:v>16</x:v>
      </x:c>
      <x:c r="C86" t="s">
        <x:v>121</x:v>
      </x:c>
      <x:c r="D86" t="s">
        <x:v>166</x:v>
      </x:c>
      <x:c r="E86" t="s">
        <x:v>19</x:v>
      </x:c>
      <x:c r="F86" t="s">
        <x:v>167</x:v>
      </x:c>
      <x:c r="G86" s="2" t="d">
        <x:f>46043</x:f>
      </x:c>
      <x:c r="H86" t="s">
        <x:v>46</x:v>
      </x:c>
      <x:c r="I86" s="3" t="n">
        <x:v>1266.5</x:v>
      </x:c>
      <x:c r="J86" s="3" t="n">
        <x:v>722.2</x:v>
      </x:c>
      <x:c r="K86" s="3" t="n">
        <x:v>544.3</x:v>
      </x:c>
      <x:c r="L86" s="3" t="n">
        <x:v>42.98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</x:row>
    <x:row r="87">
      <x:c r="A87" s="1" t="n">
        <x:v>2026</x:v>
      </x:c>
      <x:c r="B87" t="s">
        <x:v>16</x:v>
      </x:c>
      <x:c r="C87" t="s">
        <x:v>121</x:v>
      </x:c>
      <x:c r="D87" t="s">
        <x:v>168</x:v>
      </x:c>
      <x:c r="E87" t="s">
        <x:v>19</x:v>
      </x:c>
      <x:c r="F87" t="s">
        <x:v>169</x:v>
      </x:c>
      <x:c r="G87" s="2" t="d">
        <x:f>46044</x:f>
      </x:c>
      <x:c r="H87" t="s">
        <x:v>46</x:v>
      </x:c>
      <x:c r="I87" s="3" t="n">
        <x:v>403.2</x:v>
      </x:c>
      <x:c r="J87" s="3" t="n">
        <x:v>279.32</x:v>
      </x:c>
      <x:c r="K87" s="3" t="n">
        <x:v>123.88</x:v>
      </x:c>
      <x:c r="L87" s="3" t="n">
        <x:v>30.72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</x:row>
    <x:row r="88">
      <x:c r="A88" s="1" t="n">
        <x:v>2026</x:v>
      </x:c>
      <x:c r="B88" t="s">
        <x:v>16</x:v>
      </x:c>
      <x:c r="C88" t="s">
        <x:v>121</x:v>
      </x:c>
      <x:c r="D88" t="s">
        <x:v>170</x:v>
      </x:c>
      <x:c r="E88" t="s">
        <x:v>19</x:v>
      </x:c>
      <x:c r="F88" t="s">
        <x:v>125</x:v>
      </x:c>
      <x:c r="G88" s="2" t="d">
        <x:f>46044</x:f>
      </x:c>
      <x:c r="H88" t="s">
        <x:v>46</x:v>
      </x:c>
      <x:c r="I88" s="3" t="n">
        <x:v>2848.1</x:v>
      </x:c>
      <x:c r="J88" s="3" t="n">
        <x:v>1986.55</x:v>
      </x:c>
      <x:c r="K88" s="3" t="n">
        <x:v>861.55</x:v>
      </x:c>
      <x:c r="L88" s="3" t="n">
        <x:v>30.25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</x:row>
    <x:row r="89">
      <x:c r="A89" s="1" t="n">
        <x:v>2026</x:v>
      </x:c>
      <x:c r="B89" t="s">
        <x:v>16</x:v>
      </x:c>
      <x:c r="C89" t="s">
        <x:v>121</x:v>
      </x:c>
      <x:c r="D89" t="s">
        <x:v>171</x:v>
      </x:c>
      <x:c r="E89" t="s">
        <x:v>19</x:v>
      </x:c>
      <x:c r="F89" t="s">
        <x:v>172</x:v>
      </x:c>
      <x:c r="G89" s="2" t="d">
        <x:f>46044</x:f>
      </x:c>
      <x:c r="H89" t="s">
        <x:v>46</x:v>
      </x:c>
      <x:c r="I89" s="3" t="n">
        <x:v>898.25</x:v>
      </x:c>
      <x:c r="J89" s="3" t="n">
        <x:v>604.5</x:v>
      </x:c>
      <x:c r="K89" s="3" t="n">
        <x:v>293.75</x:v>
      </x:c>
      <x:c r="L89" s="3" t="n">
        <x:v>32.7</x:v>
      </x:c>
      <x:c r="M89" s="3" t="n">
        <x:v>0</x:v>
      </x:c>
      <x:c r="N89" s="3" t="n">
        <x:v>0</x:v>
      </x:c>
      <x:c r="O89" s="3" t="n">
        <x:v>0</x:v>
      </x:c>
      <x:c r="P89" s="3" t="n">
        <x:v>0</x:v>
      </x:c>
    </x:row>
    <x:row r="90">
      <x:c r="A90" s="1" t="n">
        <x:v>2026</x:v>
      </x:c>
      <x:c r="B90" t="s">
        <x:v>16</x:v>
      </x:c>
      <x:c r="C90" t="s">
        <x:v>121</x:v>
      </x:c>
      <x:c r="D90" t="s">
        <x:v>173</x:v>
      </x:c>
      <x:c r="E90" t="s">
        <x:v>19</x:v>
      </x:c>
      <x:c r="F90" t="s">
        <x:v>142</x:v>
      </x:c>
      <x:c r="G90" s="2" t="d">
        <x:f>46044</x:f>
      </x:c>
      <x:c r="H90" t="s">
        <x:v>46</x:v>
      </x:c>
      <x:c r="I90" s="3" t="n">
        <x:v>256.23</x:v>
      </x:c>
      <x:c r="J90" s="3" t="n">
        <x:v>182.27</x:v>
      </x:c>
      <x:c r="K90" s="3" t="n">
        <x:v>73.96</x:v>
      </x:c>
      <x:c r="L90" s="3" t="n">
        <x:v>28.86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</x:row>
    <x:row r="91">
      <x:c r="A91" s="1" t="n">
        <x:v>2026</x:v>
      </x:c>
      <x:c r="B91" t="s">
        <x:v>16</x:v>
      </x:c>
      <x:c r="C91" t="s">
        <x:v>121</x:v>
      </x:c>
      <x:c r="D91" t="s">
        <x:v>174</x:v>
      </x:c>
      <x:c r="E91" t="s">
        <x:v>19</x:v>
      </x:c>
      <x:c r="F91" t="s">
        <x:v>175</x:v>
      </x:c>
      <x:c r="G91" s="2" t="d">
        <x:f>46045</x:f>
      </x:c>
      <x:c r="H91" t="s">
        <x:v>46</x:v>
      </x:c>
      <x:c r="I91" s="3" t="n">
        <x:v>857.1</x:v>
      </x:c>
      <x:c r="J91" s="3" t="n">
        <x:v>591.46</x:v>
      </x:c>
      <x:c r="K91" s="3" t="n">
        <x:v>265.64</x:v>
      </x:c>
      <x:c r="L91" s="3" t="n">
        <x:v>30.99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</x:row>
    <x:row r="92">
      <x:c r="A92" s="1" t="n">
        <x:v>2026</x:v>
      </x:c>
      <x:c r="B92" t="s">
        <x:v>16</x:v>
      </x:c>
      <x:c r="C92" t="s">
        <x:v>121</x:v>
      </x:c>
      <x:c r="D92" t="s">
        <x:v>176</x:v>
      </x:c>
      <x:c r="E92" t="s">
        <x:v>19</x:v>
      </x:c>
      <x:c r="F92" t="s">
        <x:v>177</x:v>
      </x:c>
      <x:c r="G92" s="2" t="d">
        <x:f>46048</x:f>
      </x:c>
      <x:c r="H92" t="s">
        <x:v>46</x:v>
      </x:c>
      <x:c r="I92" s="3" t="n">
        <x:v>189.2</x:v>
      </x:c>
      <x:c r="J92" s="3" t="n">
        <x:v>131.45</x:v>
      </x:c>
      <x:c r="K92" s="3" t="n">
        <x:v>57.75</x:v>
      </x:c>
      <x:c r="L92" s="3" t="n">
        <x:v>30.52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</x:row>
    <x:row r="93">
      <x:c r="A93" s="1" t="n">
        <x:v>2026</x:v>
      </x:c>
      <x:c r="B93" t="s">
        <x:v>16</x:v>
      </x:c>
      <x:c r="C93" t="s">
        <x:v>121</x:v>
      </x:c>
      <x:c r="D93" t="s">
        <x:v>178</x:v>
      </x:c>
      <x:c r="E93" t="s">
        <x:v>19</x:v>
      </x:c>
      <x:c r="F93" t="s">
        <x:v>179</x:v>
      </x:c>
      <x:c r="G93" s="2" t="d">
        <x:f>46048</x:f>
      </x:c>
      <x:c r="H93" t="s">
        <x:v>46</x:v>
      </x:c>
      <x:c r="I93" s="3" t="n">
        <x:v>17558.2</x:v>
      </x:c>
      <x:c r="J93" s="3" t="n">
        <x:v>11927.02</x:v>
      </x:c>
      <x:c r="K93" s="3" t="n">
        <x:v>5631.18</x:v>
      </x:c>
      <x:c r="L93" s="3" t="n">
        <x:v>32.07</x:v>
      </x:c>
      <x:c r="M93" s="3" t="n">
        <x:v>0</x:v>
      </x:c>
      <x:c r="N93" s="3" t="n">
        <x:v>0</x:v>
      </x:c>
      <x:c r="O93" s="3" t="n">
        <x:v>0</x:v>
      </x:c>
      <x:c r="P93" s="3" t="n">
        <x:v>0</x:v>
      </x:c>
    </x:row>
    <x:row r="94">
      <x:c r="A94" s="1" t="n">
        <x:v>2026</x:v>
      </x:c>
      <x:c r="B94" t="s">
        <x:v>16</x:v>
      </x:c>
      <x:c r="C94" t="s">
        <x:v>121</x:v>
      </x:c>
      <x:c r="D94" t="s">
        <x:v>180</x:v>
      </x:c>
      <x:c r="E94" t="s">
        <x:v>19</x:v>
      </x:c>
      <x:c r="F94" t="s">
        <x:v>140</x:v>
      </x:c>
      <x:c r="G94" s="2" t="d">
        <x:f>46050</x:f>
      </x:c>
      <x:c r="H94" t="s">
        <x:v>46</x:v>
      </x:c>
      <x:c r="I94" s="3" t="n">
        <x:v>1779.6</x:v>
      </x:c>
      <x:c r="J94" s="3" t="n">
        <x:v>1195.55</x:v>
      </x:c>
      <x:c r="K94" s="3" t="n">
        <x:v>584.05</x:v>
      </x:c>
      <x:c r="L94" s="3" t="n">
        <x:v>32.82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</x:row>
    <x:row r="95">
      <x:c r="A95" s="1" t="n">
        <x:v>2026</x:v>
      </x:c>
      <x:c r="B95" t="s">
        <x:v>16</x:v>
      </x:c>
      <x:c r="C95" t="s">
        <x:v>121</x:v>
      </x:c>
      <x:c r="D95" t="s">
        <x:v>181</x:v>
      </x:c>
      <x:c r="E95" t="s">
        <x:v>19</x:v>
      </x:c>
      <x:c r="F95" t="s">
        <x:v>128</x:v>
      </x:c>
      <x:c r="G95" s="2" t="d">
        <x:f>46027</x:f>
      </x:c>
      <x:c r="H95" t="s">
        <x:v>46</x:v>
      </x:c>
      <x:c r="I95" s="3" t="n">
        <x:v>497</x:v>
      </x:c>
      <x:c r="J95" s="3" t="n">
        <x:v>332</x:v>
      </x:c>
      <x:c r="K95" s="3" t="n">
        <x:v>165</x:v>
      </x:c>
      <x:c r="L95" s="3" t="n">
        <x:v>33.2</x:v>
      </x:c>
      <x:c r="M95" s="3" t="n">
        <x:v>497</x:v>
      </x:c>
      <x:c r="N95" s="3" t="n">
        <x:v>332</x:v>
      </x:c>
      <x:c r="O95" s="3" t="n">
        <x:v>165</x:v>
      </x:c>
      <x:c r="P95" s="3" t="n">
        <x:v>33.2</x:v>
      </x:c>
    </x:row>
    <x:row r="96">
      <x:c r="A96" s="1" t="n">
        <x:v>2026</x:v>
      </x:c>
      <x:c r="B96" t="s">
        <x:v>16</x:v>
      </x:c>
      <x:c r="C96" t="s">
        <x:v>182</x:v>
      </x:c>
      <x:c r="D96" t="s">
        <x:v>183</x:v>
      </x:c>
      <x:c r="E96" t="s">
        <x:v>19</x:v>
      </x:c>
      <x:c r="F96" t="s">
        <x:v>184</x:v>
      </x:c>
      <x:c r="G96" s="2" t="d">
        <x:f>46049</x:f>
      </x:c>
      <x:c r="H96" t="s">
        <x:v>21</x:v>
      </x:c>
      <x:c r="I96" s="3" t="n">
        <x:v>30691</x:v>
      </x:c>
      <x:c r="J96" s="3" t="n">
        <x:v>20355.44</x:v>
      </x:c>
      <x:c r="K96" s="3" t="n">
        <x:v>10335.56</x:v>
      </x:c>
      <x:c r="L96" s="3" t="n">
        <x:v>33.68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</x:row>
    <x:row r="97">
      <x:c r="A97" s="1" t="n">
        <x:v>2026</x:v>
      </x:c>
      <x:c r="B97" t="s">
        <x:v>16</x:v>
      </x:c>
      <x:c r="C97" t="s">
        <x:v>182</x:v>
      </x:c>
      <x:c r="D97" t="s">
        <x:v>185</x:v>
      </x:c>
      <x:c r="E97" t="s">
        <x:v>19</x:v>
      </x:c>
      <x:c r="F97" t="s">
        <x:v>186</x:v>
      </x:c>
      <x:c r="G97" s="2" t="d">
        <x:f>46028</x:f>
      </x:c>
      <x:c r="H97" t="s">
        <x:v>21</x:v>
      </x:c>
      <x:c r="I97" s="3" t="n">
        <x:v>4508.7</x:v>
      </x:c>
      <x:c r="J97" s="3" t="n">
        <x:v>3153.36</x:v>
      </x:c>
      <x:c r="K97" s="3" t="n">
        <x:v>1355.34</x:v>
      </x:c>
      <x:c r="L97" s="3" t="n">
        <x:v>30.06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</x:row>
    <x:row r="98">
      <x:c r="A98" s="1" t="n">
        <x:v>2026</x:v>
      </x:c>
      <x:c r="B98" t="s">
        <x:v>16</x:v>
      </x:c>
      <x:c r="C98" t="s">
        <x:v>182</x:v>
      </x:c>
      <x:c r="D98" t="s">
        <x:v>187</x:v>
      </x:c>
      <x:c r="E98" t="s">
        <x:v>19</x:v>
      </x:c>
      <x:c r="F98" t="s">
        <x:v>188</x:v>
      </x:c>
      <x:c r="G98" s="2" t="d">
        <x:f>46028</x:f>
      </x:c>
      <x:c r="H98" t="s">
        <x:v>21</x:v>
      </x:c>
      <x:c r="I98" s="3" t="n">
        <x:v>577</x:v>
      </x:c>
      <x:c r="J98" s="3" t="n">
        <x:v>380</x:v>
      </x:c>
      <x:c r="K98" s="3" t="n">
        <x:v>197</x:v>
      </x:c>
      <x:c r="L98" s="3" t="n">
        <x:v>34.14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</x:row>
    <x:row r="99">
      <x:c r="A99" s="1" t="n">
        <x:v>2026</x:v>
      </x:c>
      <x:c r="B99" t="s">
        <x:v>16</x:v>
      </x:c>
      <x:c r="C99" t="s">
        <x:v>182</x:v>
      </x:c>
      <x:c r="D99" t="s">
        <x:v>189</x:v>
      </x:c>
      <x:c r="E99" t="s">
        <x:v>19</x:v>
      </x:c>
      <x:c r="F99" t="s">
        <x:v>190</x:v>
      </x:c>
      <x:c r="G99" s="2" t="d">
        <x:f>46031</x:f>
      </x:c>
      <x:c r="H99" t="s">
        <x:v>21</x:v>
      </x:c>
      <x:c r="I99" s="3" t="n">
        <x:v>218.2</x:v>
      </x:c>
      <x:c r="J99" s="3" t="n">
        <x:v>79.8</x:v>
      </x:c>
      <x:c r="K99" s="3" t="n">
        <x:v>138.4</x:v>
      </x:c>
      <x:c r="L99" s="3" t="n">
        <x:v>63.43</x:v>
      </x:c>
      <x:c r="M99" s="3" t="n">
        <x:v>0</x:v>
      </x:c>
      <x:c r="N99" s="3" t="n">
        <x:v>0</x:v>
      </x:c>
      <x:c r="O99" s="3" t="n">
        <x:v>0</x:v>
      </x:c>
      <x:c r="P99" s="3" t="n">
        <x:v>0</x:v>
      </x:c>
    </x:row>
    <x:row r="100">
      <x:c r="A100" s="1" t="n">
        <x:v>2026</x:v>
      </x:c>
      <x:c r="B100" t="s">
        <x:v>16</x:v>
      </x:c>
      <x:c r="C100" t="s">
        <x:v>182</x:v>
      </x:c>
      <x:c r="D100" t="s">
        <x:v>191</x:v>
      </x:c>
      <x:c r="E100" t="s">
        <x:v>19</x:v>
      </x:c>
      <x:c r="F100" t="s">
        <x:v>192</x:v>
      </x:c>
      <x:c r="G100" s="2" t="d">
        <x:f>46031</x:f>
      </x:c>
      <x:c r="H100" t="s">
        <x:v>21</x:v>
      </x:c>
      <x:c r="I100" s="3" t="n">
        <x:v>1533.3</x:v>
      </x:c>
      <x:c r="J100" s="3" t="n">
        <x:v>1065.6</x:v>
      </x:c>
      <x:c r="K100" s="3" t="n">
        <x:v>467.7</x:v>
      </x:c>
      <x:c r="L100" s="3" t="n">
        <x:v>30.5</x:v>
      </x:c>
      <x:c r="M100" s="3" t="n">
        <x:v>1533.3</x:v>
      </x:c>
      <x:c r="N100" s="3" t="n">
        <x:v>1065.6</x:v>
      </x:c>
      <x:c r="O100" s="3" t="n">
        <x:v>467.7</x:v>
      </x:c>
      <x:c r="P100" s="3" t="n">
        <x:v>30.5</x:v>
      </x:c>
    </x:row>
    <x:row r="101">
      <x:c r="A101" s="1" t="n">
        <x:v>2026</x:v>
      </x:c>
      <x:c r="B101" t="s">
        <x:v>16</x:v>
      </x:c>
      <x:c r="C101" t="s">
        <x:v>182</x:v>
      </x:c>
      <x:c r="D101" t="s">
        <x:v>193</x:v>
      </x:c>
      <x:c r="E101" t="s">
        <x:v>19</x:v>
      </x:c>
      <x:c r="F101" t="s">
        <x:v>194</x:v>
      </x:c>
      <x:c r="G101" s="2" t="d">
        <x:f>46034</x:f>
      </x:c>
      <x:c r="H101" t="s">
        <x:v>21</x:v>
      </x:c>
      <x:c r="I101" s="3" t="n">
        <x:v>255</x:v>
      </x:c>
      <x:c r="J101" s="3" t="n">
        <x:v>166.25</x:v>
      </x:c>
      <x:c r="K101" s="3" t="n">
        <x:v>88.75</x:v>
      </x:c>
      <x:c r="L101" s="3" t="n">
        <x:v>34.8</x:v>
      </x:c>
      <x:c r="M101" s="3" t="n">
        <x:v>255</x:v>
      </x:c>
      <x:c r="N101" s="3" t="n">
        <x:v>166.25</x:v>
      </x:c>
      <x:c r="O101" s="3" t="n">
        <x:v>88.75</x:v>
      </x:c>
      <x:c r="P101" s="3" t="n">
        <x:v>34.8</x:v>
      </x:c>
    </x:row>
    <x:row r="102">
      <x:c r="A102" s="1" t="n">
        <x:v>2026</x:v>
      </x:c>
      <x:c r="B102" t="s">
        <x:v>16</x:v>
      </x:c>
      <x:c r="C102" t="s">
        <x:v>182</x:v>
      </x:c>
      <x:c r="D102" t="s">
        <x:v>195</x:v>
      </x:c>
      <x:c r="E102" t="s">
        <x:v>19</x:v>
      </x:c>
      <x:c r="F102" t="s">
        <x:v>196</x:v>
      </x:c>
      <x:c r="G102" s="2" t="d">
        <x:f>46035</x:f>
      </x:c>
      <x:c r="H102" t="s">
        <x:v>21</x:v>
      </x:c>
      <x:c r="I102" s="3" t="n">
        <x:v>432.3</x:v>
      </x:c>
      <x:c r="J102" s="3" t="n">
        <x:v>294.07</x:v>
      </x:c>
      <x:c r="K102" s="3" t="n">
        <x:v>138.23</x:v>
      </x:c>
      <x:c r="L102" s="3" t="n">
        <x:v>31.98</x:v>
      </x:c>
      <x:c r="M102" s="3" t="n">
        <x:v>0</x:v>
      </x:c>
      <x:c r="N102" s="3" t="n">
        <x:v>235.07</x:v>
      </x:c>
      <x:c r="O102" s="3" t="n">
        <x:v>-235.07</x:v>
      </x:c>
      <x:c r="P102" s="3" t="n">
        <x:v>0</x:v>
      </x:c>
    </x:row>
    <x:row r="103">
      <x:c r="A103" s="1" t="n">
        <x:v>2026</x:v>
      </x:c>
      <x:c r="B103" t="s">
        <x:v>16</x:v>
      </x:c>
      <x:c r="C103" t="s">
        <x:v>182</x:v>
      </x:c>
      <x:c r="D103" t="s">
        <x:v>197</x:v>
      </x:c>
      <x:c r="E103" t="s">
        <x:v>19</x:v>
      </x:c>
      <x:c r="F103" t="s">
        <x:v>198</x:v>
      </x:c>
      <x:c r="G103" s="2" t="d">
        <x:f>46035</x:f>
      </x:c>
      <x:c r="H103" t="s">
        <x:v>21</x:v>
      </x:c>
      <x:c r="I103" s="3" t="n">
        <x:v>1065.6</x:v>
      </x:c>
      <x:c r="J103" s="3" t="n">
        <x:v>670.2</x:v>
      </x:c>
      <x:c r="K103" s="3" t="n">
        <x:v>395.4</x:v>
      </x:c>
      <x:c r="L103" s="3" t="n">
        <x:v>37.11</x:v>
      </x:c>
      <x:c r="M103" s="3" t="n">
        <x:v>0</x:v>
      </x:c>
      <x:c r="N103" s="3" t="n">
        <x:v>626.2</x:v>
      </x:c>
      <x:c r="O103" s="3" t="n">
        <x:v>-626.2</x:v>
      </x:c>
      <x:c r="P103" s="3" t="n">
        <x:v>0</x:v>
      </x:c>
    </x:row>
    <x:row r="104">
      <x:c r="A104" s="1" t="n">
        <x:v>2026</x:v>
      </x:c>
      <x:c r="B104" t="s">
        <x:v>16</x:v>
      </x:c>
      <x:c r="C104" t="s">
        <x:v>182</x:v>
      </x:c>
      <x:c r="D104" t="s">
        <x:v>199</x:v>
      </x:c>
      <x:c r="E104" t="s">
        <x:v>19</x:v>
      </x:c>
      <x:c r="F104" t="s">
        <x:v>200</x:v>
      </x:c>
      <x:c r="G104" s="2" t="d">
        <x:f>46036</x:f>
      </x:c>
      <x:c r="H104" t="s">
        <x:v>21</x:v>
      </x:c>
      <x:c r="I104" s="3" t="n">
        <x:v>1232.2</x:v>
      </x:c>
      <x:c r="J104" s="3" t="n">
        <x:v>878.39</x:v>
      </x:c>
      <x:c r="K104" s="3" t="n">
        <x:v>353.81</x:v>
      </x:c>
      <x:c r="L104" s="3" t="n">
        <x:v>28.71</x:v>
      </x:c>
      <x:c r="M104" s="3" t="n">
        <x:v>1232.2</x:v>
      </x:c>
      <x:c r="N104" s="3" t="n">
        <x:v>878.39</x:v>
      </x:c>
      <x:c r="O104" s="3" t="n">
        <x:v>353.81</x:v>
      </x:c>
      <x:c r="P104" s="3" t="n">
        <x:v>28.71</x:v>
      </x:c>
    </x:row>
    <x:row r="105">
      <x:c r="A105" s="1" t="n">
        <x:v>2026</x:v>
      </x:c>
      <x:c r="B105" t="s">
        <x:v>16</x:v>
      </x:c>
      <x:c r="C105" t="s">
        <x:v>182</x:v>
      </x:c>
      <x:c r="D105" t="s">
        <x:v>201</x:v>
      </x:c>
      <x:c r="E105" t="s">
        <x:v>19</x:v>
      </x:c>
      <x:c r="F105" t="s">
        <x:v>202</x:v>
      </x:c>
      <x:c r="G105" s="2" t="d">
        <x:f>46037</x:f>
      </x:c>
      <x:c r="H105" t="s">
        <x:v>21</x:v>
      </x:c>
      <x:c r="I105" s="3" t="n">
        <x:v>2110.2</x:v>
      </x:c>
      <x:c r="J105" s="3" t="n">
        <x:v>806.15</x:v>
      </x:c>
      <x:c r="K105" s="3" t="n">
        <x:v>1304.05</x:v>
      </x:c>
      <x:c r="L105" s="3" t="n">
        <x:v>61.8</x:v>
      </x:c>
      <x:c r="M105" s="3" t="n">
        <x:v>2107</x:v>
      </x:c>
      <x:c r="N105" s="3" t="n">
        <x:v>806.15</x:v>
      </x:c>
      <x:c r="O105" s="3" t="n">
        <x:v>1300.85</x:v>
      </x:c>
      <x:c r="P105" s="3" t="n">
        <x:v>61.74</x:v>
      </x:c>
    </x:row>
    <x:row r="106">
      <x:c r="A106" s="1" t="n">
        <x:v>2026</x:v>
      </x:c>
      <x:c r="B106" t="s">
        <x:v>16</x:v>
      </x:c>
      <x:c r="C106" t="s">
        <x:v>182</x:v>
      </x:c>
      <x:c r="D106" t="s">
        <x:v>203</x:v>
      </x:c>
      <x:c r="E106" t="s">
        <x:v>19</x:v>
      </x:c>
      <x:c r="F106" t="s">
        <x:v>202</x:v>
      </x:c>
      <x:c r="G106" s="2" t="d">
        <x:f>46041</x:f>
      </x:c>
      <x:c r="H106" t="s">
        <x:v>21</x:v>
      </x:c>
      <x:c r="I106" s="3" t="n">
        <x:v>240.8</x:v>
      </x:c>
      <x:c r="J106" s="3" t="n">
        <x:v>139</x:v>
      </x:c>
      <x:c r="K106" s="3" t="n">
        <x:v>101.8</x:v>
      </x:c>
      <x:c r="L106" s="3" t="n">
        <x:v>42.28</x:v>
      </x:c>
      <x:c r="M106" s="3" t="n">
        <x:v>237.6</x:v>
      </x:c>
      <x:c r="N106" s="3" t="n">
        <x:v>139</x:v>
      </x:c>
      <x:c r="O106" s="3" t="n">
        <x:v>98.6</x:v>
      </x:c>
      <x:c r="P106" s="3" t="n">
        <x:v>41.5</x:v>
      </x:c>
    </x:row>
    <x:row r="107">
      <x:c r="A107" s="1" t="n">
        <x:v>2026</x:v>
      </x:c>
      <x:c r="B107" t="s">
        <x:v>16</x:v>
      </x:c>
      <x:c r="C107" t="s">
        <x:v>182</x:v>
      </x:c>
      <x:c r="D107" t="s">
        <x:v>204</x:v>
      </x:c>
      <x:c r="E107" t="s">
        <x:v>19</x:v>
      </x:c>
      <x:c r="F107" t="s">
        <x:v>205</x:v>
      </x:c>
      <x:c r="G107" s="2" t="d">
        <x:f>46042</x:f>
      </x:c>
      <x:c r="H107" t="s">
        <x:v>21</x:v>
      </x:c>
      <x:c r="I107" s="3" t="n">
        <x:v>157.25</x:v>
      </x:c>
      <x:c r="J107" s="3" t="n">
        <x:v>103.62</x:v>
      </x:c>
      <x:c r="K107" s="3" t="n">
        <x:v>53.63</x:v>
      </x:c>
      <x:c r="L107" s="3" t="n">
        <x:v>34.1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</x:row>
    <x:row r="108">
      <x:c r="A108" s="1" t="n">
        <x:v>2026</x:v>
      </x:c>
      <x:c r="B108" t="s">
        <x:v>16</x:v>
      </x:c>
      <x:c r="C108" t="s">
        <x:v>182</x:v>
      </x:c>
      <x:c r="D108" t="s">
        <x:v>206</x:v>
      </x:c>
      <x:c r="E108" t="s">
        <x:v>19</x:v>
      </x:c>
      <x:c r="F108" t="s">
        <x:v>207</x:v>
      </x:c>
      <x:c r="G108" s="2" t="d">
        <x:f>46043</x:f>
      </x:c>
      <x:c r="H108" t="s">
        <x:v>21</x:v>
      </x:c>
      <x:c r="I108" s="3" t="n">
        <x:v>176</x:v>
      </x:c>
      <x:c r="J108" s="3" t="n">
        <x:v>98.32</x:v>
      </x:c>
      <x:c r="K108" s="3" t="n">
        <x:v>77.68</x:v>
      </x:c>
      <x:c r="L108" s="3" t="n">
        <x:v>44.14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</x:row>
    <x:row r="109">
      <x:c r="A109" s="1" t="n">
        <x:v>2026</x:v>
      </x:c>
      <x:c r="B109" t="s">
        <x:v>16</x:v>
      </x:c>
      <x:c r="C109" t="s">
        <x:v>182</x:v>
      </x:c>
      <x:c r="D109" t="s">
        <x:v>208</x:v>
      </x:c>
      <x:c r="E109" t="s">
        <x:v>19</x:v>
      </x:c>
      <x:c r="F109" t="s">
        <x:v>209</x:v>
      </x:c>
      <x:c r="G109" s="2" t="d">
        <x:f>46044</x:f>
      </x:c>
      <x:c r="H109" t="s">
        <x:v>21</x:v>
      </x:c>
      <x:c r="I109" s="3" t="n">
        <x:v>477.85</x:v>
      </x:c>
      <x:c r="J109" s="3" t="n">
        <x:v>326.96</x:v>
      </x:c>
      <x:c r="K109" s="3" t="n">
        <x:v>150.89</x:v>
      </x:c>
      <x:c r="L109" s="3" t="n">
        <x:v>31.58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</x:row>
    <x:row r="110">
      <x:c r="A110" s="1" t="n">
        <x:v>2026</x:v>
      </x:c>
      <x:c r="B110" t="s">
        <x:v>16</x:v>
      </x:c>
      <x:c r="C110" t="s">
        <x:v>182</x:v>
      </x:c>
      <x:c r="D110" t="s">
        <x:v>210</x:v>
      </x:c>
      <x:c r="E110" t="s">
        <x:v>19</x:v>
      </x:c>
      <x:c r="F110" t="s">
        <x:v>202</x:v>
      </x:c>
      <x:c r="G110" s="2" t="d">
        <x:f>46044</x:f>
      </x:c>
      <x:c r="H110" t="s">
        <x:v>21</x:v>
      </x:c>
      <x:c r="I110" s="3" t="n">
        <x:v>1225.15</x:v>
      </x:c>
      <x:c r="J110" s="3" t="n">
        <x:v>816.04</x:v>
      </x:c>
      <x:c r="K110" s="3" t="n">
        <x:v>409.11</x:v>
      </x:c>
      <x:c r="L110" s="3" t="n">
        <x:v>33.39</x:v>
      </x:c>
      <x:c r="M110" s="3" t="n">
        <x:v>0</x:v>
      </x:c>
      <x:c r="N110" s="3" t="n">
        <x:v>751.04</x:v>
      </x:c>
      <x:c r="O110" s="3" t="n">
        <x:v>-751.04</x:v>
      </x:c>
      <x:c r="P110" s="3" t="n">
        <x:v>0</x:v>
      </x:c>
    </x:row>
    <x:row r="111">
      <x:c r="A111" s="1" t="n">
        <x:v>2026</x:v>
      </x:c>
      <x:c r="B111" t="s">
        <x:v>16</x:v>
      </x:c>
      <x:c r="C111" t="s">
        <x:v>182</x:v>
      </x:c>
      <x:c r="D111" t="s">
        <x:v>211</x:v>
      </x:c>
      <x:c r="E111" t="s">
        <x:v>19</x:v>
      </x:c>
      <x:c r="F111" t="s">
        <x:v>212</x:v>
      </x:c>
      <x:c r="G111" s="2" t="d">
        <x:f>46044</x:f>
      </x:c>
      <x:c r="H111" t="s">
        <x:v>21</x:v>
      </x:c>
      <x:c r="I111" s="3" t="n">
        <x:v>587</x:v>
      </x:c>
      <x:c r="J111" s="3" t="n">
        <x:v>404.91</x:v>
      </x:c>
      <x:c r="K111" s="3" t="n">
        <x:v>182.09</x:v>
      </x:c>
      <x:c r="L111" s="3" t="n">
        <x:v>31.02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</x:row>
    <x:row r="112">
      <x:c r="A112" s="1" t="n">
        <x:v>2026</x:v>
      </x:c>
      <x:c r="B112" t="s">
        <x:v>16</x:v>
      </x:c>
      <x:c r="C112" t="s">
        <x:v>182</x:v>
      </x:c>
      <x:c r="D112" t="s">
        <x:v>213</x:v>
      </x:c>
      <x:c r="E112" t="s">
        <x:v>19</x:v>
      </x:c>
      <x:c r="F112" t="s">
        <x:v>214</x:v>
      </x:c>
      <x:c r="G112" s="2" t="d">
        <x:f>46045</x:f>
      </x:c>
      <x:c r="H112" t="s">
        <x:v>21</x:v>
      </x:c>
      <x:c r="I112" s="3" t="n">
        <x:v>226.9</x:v>
      </x:c>
      <x:c r="J112" s="3" t="n">
        <x:v>154.85</x:v>
      </x:c>
      <x:c r="K112" s="3" t="n">
        <x:v>72.05</x:v>
      </x:c>
      <x:c r="L112" s="3" t="n">
        <x:v>31.75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</x:row>
    <x:row r="113">
      <x:c r="A113" s="1" t="n">
        <x:v>2026</x:v>
      </x:c>
      <x:c r="B113" t="s">
        <x:v>16</x:v>
      </x:c>
      <x:c r="C113" t="s">
        <x:v>182</x:v>
      </x:c>
      <x:c r="D113" t="s">
        <x:v>215</x:v>
      </x:c>
      <x:c r="E113" t="s">
        <x:v>19</x:v>
      </x:c>
      <x:c r="F113" t="s">
        <x:v>216</x:v>
      </x:c>
      <x:c r="G113" s="2" t="d">
        <x:f>46045</x:f>
      </x:c>
      <x:c r="H113" t="s">
        <x:v>21</x:v>
      </x:c>
      <x:c r="I113" s="3" t="n">
        <x:v>4088.4</x:v>
      </x:c>
      <x:c r="J113" s="3" t="n">
        <x:v>2659</x:v>
      </x:c>
      <x:c r="K113" s="3" t="n">
        <x:v>1429.4</x:v>
      </x:c>
      <x:c r="L113" s="3" t="n">
        <x:v>34.96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</x:row>
    <x:row r="114">
      <x:c r="A114" s="1" t="n">
        <x:v>2026</x:v>
      </x:c>
      <x:c r="B114" t="s">
        <x:v>16</x:v>
      </x:c>
      <x:c r="C114" t="s">
        <x:v>182</x:v>
      </x:c>
      <x:c r="D114" t="s">
        <x:v>217</x:v>
      </x:c>
      <x:c r="E114" t="s">
        <x:v>19</x:v>
      </x:c>
      <x:c r="F114" t="s">
        <x:v>194</x:v>
      </x:c>
      <x:c r="G114" s="2" t="d">
        <x:f>46048</x:f>
      </x:c>
      <x:c r="H114" t="s">
        <x:v>21</x:v>
      </x:c>
      <x:c r="I114" s="3" t="n">
        <x:v>150</x:v>
      </x:c>
      <x:c r="J114" s="3" t="n">
        <x:v>40.4</x:v>
      </x:c>
      <x:c r="K114" s="3" t="n">
        <x:v>109.6</x:v>
      </x:c>
      <x:c r="L114" s="3" t="n">
        <x:v>73.07</x:v>
      </x:c>
      <x:c r="M114" s="3" t="n">
        <x:v>0</x:v>
      </x:c>
      <x:c r="N114" s="3" t="n">
        <x:v>0</x:v>
      </x:c>
      <x:c r="O114" s="3" t="n">
        <x:v>0</x:v>
      </x:c>
      <x:c r="P114" s="3" t="n">
        <x:v>0</x:v>
      </x:c>
    </x:row>
    <x:row r="115">
      <x:c r="A115" s="1" t="n">
        <x:v>2026</x:v>
      </x:c>
      <x:c r="B115" t="s">
        <x:v>16</x:v>
      </x:c>
      <x:c r="C115" t="s">
        <x:v>182</x:v>
      </x:c>
      <x:c r="D115" t="s">
        <x:v>218</x:v>
      </x:c>
      <x:c r="E115" t="s">
        <x:v>19</x:v>
      </x:c>
      <x:c r="F115" t="s">
        <x:v>188</x:v>
      </x:c>
      <x:c r="G115" s="2" t="d">
        <x:f>46049</x:f>
      </x:c>
      <x:c r="H115" t="s">
        <x:v>21</x:v>
      </x:c>
      <x:c r="I115" s="3" t="n">
        <x:v>409.4</x:v>
      </x:c>
      <x:c r="J115" s="3" t="n">
        <x:v>242.2</x:v>
      </x:c>
      <x:c r="K115" s="3" t="n">
        <x:v>167.2</x:v>
      </x:c>
      <x:c r="L115" s="3" t="n">
        <x:v>40.84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</x:row>
    <x:row r="116">
      <x:c r="A116" s="1" t="n">
        <x:v>2026</x:v>
      </x:c>
      <x:c r="B116" t="s">
        <x:v>16</x:v>
      </x:c>
      <x:c r="C116" t="s">
        <x:v>182</x:v>
      </x:c>
      <x:c r="D116" t="s">
        <x:v>219</x:v>
      </x:c>
      <x:c r="E116" t="s">
        <x:v>19</x:v>
      </x:c>
      <x:c r="F116" t="s">
        <x:v>194</x:v>
      </x:c>
      <x:c r="G116" s="2" t="d">
        <x:f>46049</x:f>
      </x:c>
      <x:c r="H116" t="s">
        <x:v>21</x:v>
      </x:c>
      <x:c r="I116" s="3" t="n">
        <x:v>400.6</x:v>
      </x:c>
      <x:c r="J116" s="3" t="n">
        <x:v>266.1</x:v>
      </x:c>
      <x:c r="K116" s="3" t="n">
        <x:v>134.5</x:v>
      </x:c>
      <x:c r="L116" s="3" t="n">
        <x:v>33.57</x:v>
      </x:c>
      <x:c r="M116" s="3" t="n">
        <x:v>0</x:v>
      </x:c>
      <x:c r="N116" s="3" t="n">
        <x:v>0</x:v>
      </x:c>
      <x:c r="O116" s="3" t="n">
        <x:v>0</x:v>
      </x:c>
      <x:c r="P116" s="3" t="n">
        <x:v>0</x:v>
      </x:c>
    </x:row>
    <x:row r="117">
      <x:c r="A117" s="1" t="n">
        <x:v>2026</x:v>
      </x:c>
      <x:c r="B117" t="s">
        <x:v>16</x:v>
      </x:c>
      <x:c r="C117" t="s">
        <x:v>182</x:v>
      </x:c>
      <x:c r="D117" t="s">
        <x:v>220</x:v>
      </x:c>
      <x:c r="E117" t="s">
        <x:v>19</x:v>
      </x:c>
      <x:c r="F117" t="s">
        <x:v>221</x:v>
      </x:c>
      <x:c r="G117" s="2" t="d">
        <x:f>46050</x:f>
      </x:c>
      <x:c r="H117" t="s">
        <x:v>21</x:v>
      </x:c>
      <x:c r="I117" s="3" t="n">
        <x:v>499.56</x:v>
      </x:c>
      <x:c r="J117" s="3" t="n">
        <x:v>367.03</x:v>
      </x:c>
      <x:c r="K117" s="3" t="n">
        <x:v>132.53</x:v>
      </x:c>
      <x:c r="L117" s="3" t="n">
        <x:v>26.53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</x:row>
    <x:row r="118">
      <x:c r="A118" s="1" t="n">
        <x:v>2026</x:v>
      </x:c>
      <x:c r="B118" t="s">
        <x:v>16</x:v>
      </x:c>
      <x:c r="C118" t="s">
        <x:v>182</x:v>
      </x:c>
      <x:c r="D118" t="s">
        <x:v>222</x:v>
      </x:c>
      <x:c r="E118" t="s">
        <x:v>19</x:v>
      </x:c>
      <x:c r="F118" t="s">
        <x:v>223</x:v>
      </x:c>
      <x:c r="G118" s="2" t="d">
        <x:f>46050</x:f>
      </x:c>
      <x:c r="H118" t="s">
        <x:v>21</x:v>
      </x:c>
      <x:c r="I118" s="3" t="n">
        <x:v>6578</x:v>
      </x:c>
      <x:c r="J118" s="3" t="n">
        <x:v>4453.4</x:v>
      </x:c>
      <x:c r="K118" s="3" t="n">
        <x:v>2124.6</x:v>
      </x:c>
      <x:c r="L118" s="3" t="n">
        <x:v>32.3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</x:row>
    <x:row r="119">
      <x:c r="A119" s="1" t="n">
        <x:v>2026</x:v>
      </x:c>
      <x:c r="B119" t="s">
        <x:v>16</x:v>
      </x:c>
      <x:c r="C119" t="s">
        <x:v>182</x:v>
      </x:c>
      <x:c r="D119" t="s">
        <x:v>224</x:v>
      </x:c>
      <x:c r="E119" t="s">
        <x:v>19</x:v>
      </x:c>
      <x:c r="F119" t="s">
        <x:v>184</x:v>
      </x:c>
      <x:c r="G119" s="2" t="d">
        <x:f>46050</x:f>
      </x:c>
      <x:c r="H119" t="s">
        <x:v>21</x:v>
      </x:c>
      <x:c r="I119" s="3" t="n">
        <x:v>88010</x:v>
      </x:c>
      <x:c r="J119" s="3" t="n">
        <x:v>62904.4</x:v>
      </x:c>
      <x:c r="K119" s="3" t="n">
        <x:v>25105.6</x:v>
      </x:c>
      <x:c r="L119" s="3" t="n">
        <x:v>28.53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</x:row>
    <x:row r="120">
      <x:c r="A120" s="1" t="n">
        <x:v>2026</x:v>
      </x:c>
      <x:c r="B120" t="s">
        <x:v>16</x:v>
      </x:c>
      <x:c r="C120" t="s">
        <x:v>182</x:v>
      </x:c>
      <x:c r="D120" t="s">
        <x:v>225</x:v>
      </x:c>
      <x:c r="E120" t="s">
        <x:v>19</x:v>
      </x:c>
      <x:c r="F120" t="s">
        <x:v>194</x:v>
      </x:c>
      <x:c r="G120" s="2" t="d">
        <x:f>46050</x:f>
      </x:c>
      <x:c r="H120" t="s">
        <x:v>21</x:v>
      </x:c>
      <x:c r="I120" s="3" t="n">
        <x:v>554.35</x:v>
      </x:c>
      <x:c r="J120" s="3" t="n">
        <x:v>375.04</x:v>
      </x:c>
      <x:c r="K120" s="3" t="n">
        <x:v>179.31</x:v>
      </x:c>
      <x:c r="L120" s="3" t="n">
        <x:v>32.35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</x:row>
    <x:row r="121">
      <x:c r="A121" s="1" t="n">
        <x:v>2026</x:v>
      </x:c>
      <x:c r="B121" t="s">
        <x:v>16</x:v>
      </x:c>
      <x:c r="C121" t="s">
        <x:v>182</x:v>
      </x:c>
      <x:c r="D121" t="s">
        <x:v>226</x:v>
      </x:c>
      <x:c r="E121" t="s">
        <x:v>19</x:v>
      </x:c>
      <x:c r="F121" t="s">
        <x:v>188</x:v>
      </x:c>
      <x:c r="G121" s="2" t="d">
        <x:f>46050</x:f>
      </x:c>
      <x:c r="H121" t="s">
        <x:v>21</x:v>
      </x:c>
      <x:c r="I121" s="3" t="n">
        <x:v>1324</x:v>
      </x:c>
      <x:c r="J121" s="3" t="n">
        <x:v>900.6</x:v>
      </x:c>
      <x:c r="K121" s="3" t="n">
        <x:v>423.4</x:v>
      </x:c>
      <x:c r="L121" s="3" t="n">
        <x:v>31.98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</x:row>
    <x:row r="122">
      <x:c r="A122" s="1" t="n">
        <x:v>2026</x:v>
      </x:c>
      <x:c r="B122" t="s">
        <x:v>16</x:v>
      </x:c>
      <x:c r="C122" t="s">
        <x:v>182</x:v>
      </x:c>
      <x:c r="D122" t="s">
        <x:v>227</x:v>
      </x:c>
      <x:c r="E122" t="s">
        <x:v>19</x:v>
      </x:c>
      <x:c r="F122" t="s">
        <x:v>228</x:v>
      </x:c>
      <x:c r="G122" s="2" t="d">
        <x:f>46029</x:f>
      </x:c>
      <x:c r="H122" t="s">
        <x:v>21</x:v>
      </x:c>
      <x:c r="I122" s="3" t="n">
        <x:v>1055</x:v>
      </x:c>
      <x:c r="J122" s="3" t="n">
        <x:v>664.41</x:v>
      </x:c>
      <x:c r="K122" s="3" t="n">
        <x:v>390.59</x:v>
      </x:c>
      <x:c r="L122" s="3" t="n">
        <x:v>37.02</x:v>
      </x:c>
      <x:c r="M122" s="3" t="n">
        <x:v>0</x:v>
      </x:c>
      <x:c r="N122" s="3" t="n">
        <x:v>192</x:v>
      </x:c>
      <x:c r="O122" s="3" t="n">
        <x:v>-192</x:v>
      </x:c>
      <x:c r="P122" s="3" t="n">
        <x:v>0</x:v>
      </x:c>
    </x:row>
    <x:row r="123">
      <x:c r="A123" s="1" t="n">
        <x:v>2026</x:v>
      </x:c>
      <x:c r="B123" t="s">
        <x:v>16</x:v>
      </x:c>
      <x:c r="C123" t="s">
        <x:v>17</x:v>
      </x:c>
      <x:c r="D123" t="s">
        <x:v>229</x:v>
      </x:c>
      <x:c r="E123" t="s">
        <x:v>19</x:v>
      </x:c>
      <x:c r="F123" t="s">
        <x:v>230</x:v>
      </x:c>
      <x:c r="G123" s="2" t="d">
        <x:f>46037</x:f>
      </x:c>
      <x:c r="H123" t="s">
        <x:v>21</x:v>
      </x:c>
      <x:c r="I123" s="3" t="n">
        <x:v>664.03</x:v>
      </x:c>
      <x:c r="J123" s="3" t="n">
        <x:v>427.08</x:v>
      </x:c>
      <x:c r="K123" s="3" t="n">
        <x:v>236.95</x:v>
      </x:c>
      <x:c r="L123" s="3" t="n">
        <x:v>35.68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</x:row>
    <x:row r="124">
      <x:c r="A124" s="1" t="n">
        <x:v>2026</x:v>
      </x:c>
      <x:c r="B124" t="s">
        <x:v>16</x:v>
      </x:c>
      <x:c r="C124" t="s">
        <x:v>17</x:v>
      </x:c>
      <x:c r="D124" t="s">
        <x:v>231</x:v>
      </x:c>
      <x:c r="E124" t="s">
        <x:v>19</x:v>
      </x:c>
      <x:c r="F124" t="s">
        <x:v>230</x:v>
      </x:c>
      <x:c r="G124" s="2" t="d">
        <x:f>46028</x:f>
      </x:c>
      <x:c r="H124" t="s">
        <x:v>21</x:v>
      </x:c>
      <x:c r="I124" s="3" t="n">
        <x:v>9242.7</x:v>
      </x:c>
      <x:c r="J124" s="3" t="n">
        <x:v>5848.99</x:v>
      </x:c>
      <x:c r="K124" s="3" t="n">
        <x:v>3393.71</x:v>
      </x:c>
      <x:c r="L124" s="3" t="n">
        <x:v>36.72</x:v>
      </x:c>
      <x:c r="M124" s="3" t="n">
        <x:v>0</x:v>
      </x:c>
      <x:c r="N124" s="3" t="n">
        <x:v>0</x:v>
      </x:c>
      <x:c r="O124" s="3" t="n">
        <x:v>0</x:v>
      </x:c>
      <x:c r="P124" s="3" t="n">
        <x:v>0</x:v>
      </x:c>
    </x:row>
    <x:row r="125">
      <x:c r="A125" s="1" t="n">
        <x:v>2026</x:v>
      </x:c>
      <x:c r="B125" t="s">
        <x:v>16</x:v>
      </x:c>
      <x:c r="C125" t="s">
        <x:v>17</x:v>
      </x:c>
      <x:c r="D125" t="s">
        <x:v>232</x:v>
      </x:c>
      <x:c r="E125" t="s">
        <x:v>19</x:v>
      </x:c>
      <x:c r="F125" t="s">
        <x:v>233</x:v>
      </x:c>
      <x:c r="G125" s="2" t="d">
        <x:f>46030</x:f>
      </x:c>
      <x:c r="H125" t="s">
        <x:v>21</x:v>
      </x:c>
      <x:c r="I125" s="3" t="n">
        <x:v>1475</x:v>
      </x:c>
      <x:c r="J125" s="3" t="n">
        <x:v>815.97</x:v>
      </x:c>
      <x:c r="K125" s="3" t="n">
        <x:v>659.03</x:v>
      </x:c>
      <x:c r="L125" s="3" t="n">
        <x:v>44.68</x:v>
      </x:c>
      <x:c r="M125" s="3" t="n">
        <x:v>1475</x:v>
      </x:c>
      <x:c r="N125" s="3" t="n">
        <x:v>815.97</x:v>
      </x:c>
      <x:c r="O125" s="3" t="n">
        <x:v>659.03</x:v>
      </x:c>
      <x:c r="P125" s="3" t="n">
        <x:v>44.68</x:v>
      </x:c>
    </x:row>
    <x:row r="126">
      <x:c r="A126" s="1" t="n">
        <x:v>2026</x:v>
      </x:c>
      <x:c r="B126" t="s">
        <x:v>16</x:v>
      </x:c>
      <x:c r="C126" t="s">
        <x:v>17</x:v>
      </x:c>
      <x:c r="D126" t="s">
        <x:v>234</x:v>
      </x:c>
      <x:c r="E126" t="s">
        <x:v>19</x:v>
      </x:c>
      <x:c r="F126" t="s">
        <x:v>235</x:v>
      </x:c>
      <x:c r="G126" s="2" t="d">
        <x:f>46030</x:f>
      </x:c>
      <x:c r="H126" t="s">
        <x:v>21</x:v>
      </x:c>
      <x:c r="I126" s="3" t="n">
        <x:v>1883.1</x:v>
      </x:c>
      <x:c r="J126" s="3" t="n">
        <x:v>1282.2</x:v>
      </x:c>
      <x:c r="K126" s="3" t="n">
        <x:v>600.9</x:v>
      </x:c>
      <x:c r="L126" s="3" t="n">
        <x:v>31.91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</x:row>
    <x:row r="127">
      <x:c r="A127" s="1" t="n">
        <x:v>2026</x:v>
      </x:c>
      <x:c r="B127" t="s">
        <x:v>16</x:v>
      </x:c>
      <x:c r="C127" t="s">
        <x:v>17</x:v>
      </x:c>
      <x:c r="D127" t="s">
        <x:v>236</x:v>
      </x:c>
      <x:c r="E127" t="s">
        <x:v>19</x:v>
      </x:c>
      <x:c r="F127" t="s">
        <x:v>237</x:v>
      </x:c>
      <x:c r="G127" s="2" t="d">
        <x:f>46031</x:f>
      </x:c>
      <x:c r="H127" t="s">
        <x:v>21</x:v>
      </x:c>
      <x:c r="I127" s="3" t="n">
        <x:v>947.88</x:v>
      </x:c>
      <x:c r="J127" s="3" t="n">
        <x:v>656</x:v>
      </x:c>
      <x:c r="K127" s="3" t="n">
        <x:v>291.88</x:v>
      </x:c>
      <x:c r="L127" s="3" t="n">
        <x:v>30.79</x:v>
      </x:c>
      <x:c r="M127" s="3" t="n">
        <x:v>947.88</x:v>
      </x:c>
      <x:c r="N127" s="3" t="n">
        <x:v>656</x:v>
      </x:c>
      <x:c r="O127" s="3" t="n">
        <x:v>291.88</x:v>
      </x:c>
      <x:c r="P127" s="3" t="n">
        <x:v>30.79</x:v>
      </x:c>
    </x:row>
    <x:row r="128">
      <x:c r="A128" s="1" t="n">
        <x:v>2026</x:v>
      </x:c>
      <x:c r="B128" t="s">
        <x:v>16</x:v>
      </x:c>
      <x:c r="C128" t="s">
        <x:v>17</x:v>
      </x:c>
      <x:c r="D128" t="s">
        <x:v>238</x:v>
      </x:c>
      <x:c r="E128" t="s">
        <x:v>19</x:v>
      </x:c>
      <x:c r="F128" t="s">
        <x:v>239</x:v>
      </x:c>
      <x:c r="G128" s="2" t="d">
        <x:f>46031</x:f>
      </x:c>
      <x:c r="H128" t="s">
        <x:v>21</x:v>
      </x:c>
      <x:c r="I128" s="3" t="n">
        <x:v>2542</x:v>
      </x:c>
      <x:c r="J128" s="3" t="n">
        <x:v>1773</x:v>
      </x:c>
      <x:c r="K128" s="3" t="n">
        <x:v>769</x:v>
      </x:c>
      <x:c r="L128" s="3" t="n">
        <x:v>30.25</x:v>
      </x:c>
      <x:c r="M128" s="3" t="n">
        <x:v>2542</x:v>
      </x:c>
      <x:c r="N128" s="3" t="n">
        <x:v>1773</x:v>
      </x:c>
      <x:c r="O128" s="3" t="n">
        <x:v>769</x:v>
      </x:c>
      <x:c r="P128" s="3" t="n">
        <x:v>30.25</x:v>
      </x:c>
    </x:row>
    <x:row r="129">
      <x:c r="A129" s="1" t="n">
        <x:v>2026</x:v>
      </x:c>
      <x:c r="B129" t="s">
        <x:v>16</x:v>
      </x:c>
      <x:c r="C129" t="s">
        <x:v>17</x:v>
      </x:c>
      <x:c r="D129" t="s">
        <x:v>240</x:v>
      </x:c>
      <x:c r="E129" t="s">
        <x:v>19</x:v>
      </x:c>
      <x:c r="F129" t="s">
        <x:v>241</x:v>
      </x:c>
      <x:c r="G129" s="2" t="d">
        <x:f>46034</x:f>
      </x:c>
      <x:c r="H129" t="s">
        <x:v>21</x:v>
      </x:c>
      <x:c r="I129" s="3" t="n">
        <x:v>1319.2</x:v>
      </x:c>
      <x:c r="J129" s="3" t="n">
        <x:v>849.15</x:v>
      </x:c>
      <x:c r="K129" s="3" t="n">
        <x:v>470.05</x:v>
      </x:c>
      <x:c r="L129" s="3" t="n">
        <x:v>35.63</x:v>
      </x:c>
      <x:c r="M129" s="3" t="n">
        <x:v>1316</x:v>
      </x:c>
      <x:c r="N129" s="3" t="n">
        <x:v>849.15</x:v>
      </x:c>
      <x:c r="O129" s="3" t="n">
        <x:v>466.85</x:v>
      </x:c>
      <x:c r="P129" s="3" t="n">
        <x:v>35.47</x:v>
      </x:c>
    </x:row>
    <x:row r="130">
      <x:c r="A130" s="1" t="n">
        <x:v>2026</x:v>
      </x:c>
      <x:c r="B130" t="s">
        <x:v>16</x:v>
      </x:c>
      <x:c r="C130" t="s">
        <x:v>17</x:v>
      </x:c>
      <x:c r="D130" t="s">
        <x:v>242</x:v>
      </x:c>
      <x:c r="E130" t="s">
        <x:v>19</x:v>
      </x:c>
      <x:c r="F130" t="s">
        <x:v>243</x:v>
      </x:c>
      <x:c r="G130" s="2" t="d">
        <x:f>46034</x:f>
      </x:c>
      <x:c r="H130" t="s">
        <x:v>21</x:v>
      </x:c>
      <x:c r="I130" s="3" t="n">
        <x:v>883.2</x:v>
      </x:c>
      <x:c r="J130" s="3" t="n">
        <x:v>573.98</x:v>
      </x:c>
      <x:c r="K130" s="3" t="n">
        <x:v>309.22</x:v>
      </x:c>
      <x:c r="L130" s="3" t="n">
        <x:v>35.01</x:v>
      </x:c>
      <x:c r="M130" s="3" t="n">
        <x:v>0</x:v>
      </x:c>
      <x:c r="N130" s="3" t="n">
        <x:v>0</x:v>
      </x:c>
      <x:c r="O130" s="3" t="n">
        <x:v>0</x:v>
      </x:c>
      <x:c r="P130" s="3" t="n">
        <x:v>0</x:v>
      </x:c>
    </x:row>
    <x:row r="131">
      <x:c r="A131" s="1" t="n">
        <x:v>2026</x:v>
      </x:c>
      <x:c r="B131" t="s">
        <x:v>16</x:v>
      </x:c>
      <x:c r="C131" t="s">
        <x:v>17</x:v>
      </x:c>
      <x:c r="D131" t="s">
        <x:v>244</x:v>
      </x:c>
      <x:c r="E131" t="s">
        <x:v>19</x:v>
      </x:c>
      <x:c r="F131" t="s">
        <x:v>245</x:v>
      </x:c>
      <x:c r="G131" s="2" t="d">
        <x:f>46034</x:f>
      </x:c>
      <x:c r="H131" t="s">
        <x:v>21</x:v>
      </x:c>
      <x:c r="I131" s="3" t="n">
        <x:v>3112.3</x:v>
      </x:c>
      <x:c r="J131" s="3" t="n">
        <x:v>1704.18</x:v>
      </x:c>
      <x:c r="K131" s="3" t="n">
        <x:v>1408.12</x:v>
      </x:c>
      <x:c r="L131" s="3" t="n">
        <x:v>45.24</x:v>
      </x:c>
      <x:c r="M131" s="3" t="n">
        <x:v>3109.1</x:v>
      </x:c>
      <x:c r="N131" s="3" t="n">
        <x:v>1704.18</x:v>
      </x:c>
      <x:c r="O131" s="3" t="n">
        <x:v>1404.92</x:v>
      </x:c>
      <x:c r="P131" s="3" t="n">
        <x:v>45.19</x:v>
      </x:c>
    </x:row>
    <x:row r="132">
      <x:c r="A132" s="1" t="n">
        <x:v>2026</x:v>
      </x:c>
      <x:c r="B132" t="s">
        <x:v>16</x:v>
      </x:c>
      <x:c r="C132" t="s">
        <x:v>17</x:v>
      </x:c>
      <x:c r="D132" t="s">
        <x:v>246</x:v>
      </x:c>
      <x:c r="E132" t="s">
        <x:v>19</x:v>
      </x:c>
      <x:c r="F132" t="s">
        <x:v>247</x:v>
      </x:c>
      <x:c r="G132" s="2" t="d">
        <x:f>46034</x:f>
      </x:c>
      <x:c r="H132" t="s">
        <x:v>21</x:v>
      </x:c>
      <x:c r="I132" s="3" t="n">
        <x:v>521.2</x:v>
      </x:c>
      <x:c r="J132" s="3" t="n">
        <x:v>363.12</x:v>
      </x:c>
      <x:c r="K132" s="3" t="n">
        <x:v>158.08</x:v>
      </x:c>
      <x:c r="L132" s="3" t="n">
        <x:v>30.33</x:v>
      </x:c>
      <x:c r="M132" s="3" t="n">
        <x:v>518</x:v>
      </x:c>
      <x:c r="N132" s="3" t="n">
        <x:v>363.12</x:v>
      </x:c>
      <x:c r="O132" s="3" t="n">
        <x:v>154.88</x:v>
      </x:c>
      <x:c r="P132" s="3" t="n">
        <x:v>29.9</x:v>
      </x:c>
    </x:row>
    <x:row r="133">
      <x:c r="A133" s="1" t="n">
        <x:v>2026</x:v>
      </x:c>
      <x:c r="B133" t="s">
        <x:v>16</x:v>
      </x:c>
      <x:c r="C133" t="s">
        <x:v>17</x:v>
      </x:c>
      <x:c r="D133" t="s">
        <x:v>248</x:v>
      </x:c>
      <x:c r="E133" t="s">
        <x:v>19</x:v>
      </x:c>
      <x:c r="F133" t="s">
        <x:v>249</x:v>
      </x:c>
      <x:c r="G133" s="2" t="d">
        <x:f>46035</x:f>
      </x:c>
      <x:c r="H133" t="s">
        <x:v>21</x:v>
      </x:c>
      <x:c r="I133" s="3" t="n">
        <x:v>332.6</x:v>
      </x:c>
      <x:c r="J133" s="3" t="n">
        <x:v>228</x:v>
      </x:c>
      <x:c r="K133" s="3" t="n">
        <x:v>104.6</x:v>
      </x:c>
      <x:c r="L133" s="3" t="n">
        <x:v>31.45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</x:row>
    <x:row r="134">
      <x:c r="A134" s="1" t="n">
        <x:v>2026</x:v>
      </x:c>
      <x:c r="B134" t="s">
        <x:v>16</x:v>
      </x:c>
      <x:c r="C134" t="s">
        <x:v>17</x:v>
      </x:c>
      <x:c r="D134" t="s">
        <x:v>250</x:v>
      </x:c>
      <x:c r="E134" t="s">
        <x:v>19</x:v>
      </x:c>
      <x:c r="F134" t="s">
        <x:v>20</x:v>
      </x:c>
      <x:c r="G134" s="2" t="d">
        <x:f>46036</x:f>
      </x:c>
      <x:c r="H134" t="s">
        <x:v>21</x:v>
      </x:c>
      <x:c r="I134" s="3" t="n">
        <x:v>6533</x:v>
      </x:c>
      <x:c r="J134" s="3" t="n">
        <x:v>4436</x:v>
      </x:c>
      <x:c r="K134" s="3" t="n">
        <x:v>2097</x:v>
      </x:c>
      <x:c r="L134" s="3" t="n">
        <x:v>32.1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</x:row>
    <x:row r="135">
      <x:c r="A135" s="1" t="n">
        <x:v>2026</x:v>
      </x:c>
      <x:c r="B135" t="s">
        <x:v>16</x:v>
      </x:c>
      <x:c r="C135" t="s">
        <x:v>17</x:v>
      </x:c>
      <x:c r="D135" t="s">
        <x:v>251</x:v>
      </x:c>
      <x:c r="E135" t="s">
        <x:v>19</x:v>
      </x:c>
      <x:c r="F135" t="s">
        <x:v>252</x:v>
      </x:c>
      <x:c r="G135" s="2" t="d">
        <x:f>46036</x:f>
      </x:c>
      <x:c r="H135" t="s">
        <x:v>21</x:v>
      </x:c>
      <x:c r="I135" s="3" t="n">
        <x:v>854.7</x:v>
      </x:c>
      <x:c r="J135" s="3" t="n">
        <x:v>420.53</x:v>
      </x:c>
      <x:c r="K135" s="3" t="n">
        <x:v>434.17</x:v>
      </x:c>
      <x:c r="L135" s="3" t="n">
        <x:v>50.8</x:v>
      </x:c>
      <x:c r="M135" s="3" t="n">
        <x:v>851.5</x:v>
      </x:c>
      <x:c r="N135" s="3" t="n">
        <x:v>420.53</x:v>
      </x:c>
      <x:c r="O135" s="3" t="n">
        <x:v>430.97</x:v>
      </x:c>
      <x:c r="P135" s="3" t="n">
        <x:v>50.61</x:v>
      </x:c>
    </x:row>
    <x:row r="136">
      <x:c r="A136" s="1" t="n">
        <x:v>2026</x:v>
      </x:c>
      <x:c r="B136" t="s">
        <x:v>16</x:v>
      </x:c>
      <x:c r="C136" t="s">
        <x:v>17</x:v>
      </x:c>
      <x:c r="D136" t="s">
        <x:v>253</x:v>
      </x:c>
      <x:c r="E136" t="s">
        <x:v>19</x:v>
      </x:c>
      <x:c r="F136" t="s">
        <x:v>254</x:v>
      </x:c>
      <x:c r="G136" s="2" t="d">
        <x:f>46036</x:f>
      </x:c>
      <x:c r="H136" t="s">
        <x:v>21</x:v>
      </x:c>
      <x:c r="I136" s="3" t="n">
        <x:v>215.99</x:v>
      </x:c>
      <x:c r="J136" s="3" t="n">
        <x:v>142.09</x:v>
      </x:c>
      <x:c r="K136" s="3" t="n">
        <x:v>73.9</x:v>
      </x:c>
      <x:c r="L136" s="3" t="n">
        <x:v>34.21</x:v>
      </x:c>
      <x:c r="M136" s="3" t="n">
        <x:v>0</x:v>
      </x:c>
      <x:c r="N136" s="3" t="n">
        <x:v>0</x:v>
      </x:c>
      <x:c r="O136" s="3" t="n">
        <x:v>0</x:v>
      </x:c>
      <x:c r="P136" s="3" t="n">
        <x:v>0</x:v>
      </x:c>
    </x:row>
    <x:row r="137">
      <x:c r="A137" s="1" t="n">
        <x:v>2026</x:v>
      </x:c>
      <x:c r="B137" t="s">
        <x:v>16</x:v>
      </x:c>
      <x:c r="C137" t="s">
        <x:v>17</x:v>
      </x:c>
      <x:c r="D137" t="s">
        <x:v>255</x:v>
      </x:c>
      <x:c r="E137" t="s">
        <x:v>19</x:v>
      </x:c>
      <x:c r="F137" t="s">
        <x:v>256</x:v>
      </x:c>
      <x:c r="G137" s="2" t="d">
        <x:f>46037</x:f>
      </x:c>
      <x:c r="H137" t="s">
        <x:v>21</x:v>
      </x:c>
      <x:c r="I137" s="3" t="n">
        <x:v>13201.66</x:v>
      </x:c>
      <x:c r="J137" s="3" t="n">
        <x:v>9132.8</x:v>
      </x:c>
      <x:c r="K137" s="3" t="n">
        <x:v>4068.86</x:v>
      </x:c>
      <x:c r="L137" s="3" t="n">
        <x:v>30.82</x:v>
      </x:c>
      <x:c r="M137" s="3" t="n">
        <x:v>13198.46</x:v>
      </x:c>
      <x:c r="N137" s="3" t="n">
        <x:v>9132.8</x:v>
      </x:c>
      <x:c r="O137" s="3" t="n">
        <x:v>4065.66</x:v>
      </x:c>
      <x:c r="P137" s="3" t="n">
        <x:v>30.8</x:v>
      </x:c>
    </x:row>
    <x:row r="138">
      <x:c r="A138" s="1" t="n">
        <x:v>2026</x:v>
      </x:c>
      <x:c r="B138" t="s">
        <x:v>16</x:v>
      </x:c>
      <x:c r="C138" t="s">
        <x:v>17</x:v>
      </x:c>
      <x:c r="D138" t="s">
        <x:v>257</x:v>
      </x:c>
      <x:c r="E138" t="s">
        <x:v>19</x:v>
      </x:c>
      <x:c r="F138" t="s">
        <x:v>237</x:v>
      </x:c>
      <x:c r="G138" s="2" t="d">
        <x:f>46037</x:f>
      </x:c>
      <x:c r="H138" t="s">
        <x:v>21</x:v>
      </x:c>
      <x:c r="I138" s="3" t="n">
        <x:v>335</x:v>
      </x:c>
      <x:c r="J138" s="3" t="n">
        <x:v>219.96</x:v>
      </x:c>
      <x:c r="K138" s="3" t="n">
        <x:v>115.04</x:v>
      </x:c>
      <x:c r="L138" s="3" t="n">
        <x:v>34.34</x:v>
      </x:c>
      <x:c r="M138" s="3" t="n">
        <x:v>335</x:v>
      </x:c>
      <x:c r="N138" s="3" t="n">
        <x:v>219.96</x:v>
      </x:c>
      <x:c r="O138" s="3" t="n">
        <x:v>115.04</x:v>
      </x:c>
      <x:c r="P138" s="3" t="n">
        <x:v>34.34</x:v>
      </x:c>
    </x:row>
    <x:row r="139">
      <x:c r="A139" s="1" t="n">
        <x:v>2026</x:v>
      </x:c>
      <x:c r="B139" t="s">
        <x:v>16</x:v>
      </x:c>
      <x:c r="C139" t="s">
        <x:v>17</x:v>
      </x:c>
      <x:c r="D139" t="s">
        <x:v>258</x:v>
      </x:c>
      <x:c r="E139" t="s">
        <x:v>19</x:v>
      </x:c>
      <x:c r="F139" t="s">
        <x:v>259</x:v>
      </x:c>
      <x:c r="G139" s="2" t="d">
        <x:f>46042</x:f>
      </x:c>
      <x:c r="H139" t="s">
        <x:v>21</x:v>
      </x:c>
      <x:c r="I139" s="3" t="n">
        <x:v>380.2</x:v>
      </x:c>
      <x:c r="J139" s="3" t="n">
        <x:v>196</x:v>
      </x:c>
      <x:c r="K139" s="3" t="n">
        <x:v>184.2</x:v>
      </x:c>
      <x:c r="L139" s="3" t="n">
        <x:v>48.45</x:v>
      </x:c>
      <x:c r="M139" s="3" t="n">
        <x:v>0</x:v>
      </x:c>
      <x:c r="N139" s="3" t="n">
        <x:v>187</x:v>
      </x:c>
      <x:c r="O139" s="3" t="n">
        <x:v>-187</x:v>
      </x:c>
      <x:c r="P139" s="3" t="n">
        <x:v>0</x:v>
      </x:c>
    </x:row>
    <x:row r="140">
      <x:c r="A140" s="1" t="n">
        <x:v>2026</x:v>
      </x:c>
      <x:c r="B140" t="s">
        <x:v>16</x:v>
      </x:c>
      <x:c r="C140" t="s">
        <x:v>17</x:v>
      </x:c>
      <x:c r="D140" t="s">
        <x:v>260</x:v>
      </x:c>
      <x:c r="E140" t="s">
        <x:v>19</x:v>
      </x:c>
      <x:c r="F140" t="s">
        <x:v>261</x:v>
      </x:c>
      <x:c r="G140" s="2" t="d">
        <x:f>46042</x:f>
      </x:c>
      <x:c r="H140" t="s">
        <x:v>21</x:v>
      </x:c>
      <x:c r="I140" s="3" t="n">
        <x:v>600.8</x:v>
      </x:c>
      <x:c r="J140" s="3" t="n">
        <x:v>461.3</x:v>
      </x:c>
      <x:c r="K140" s="3" t="n">
        <x:v>139.5</x:v>
      </x:c>
      <x:c r="L140" s="3" t="n">
        <x:v>23.22</x:v>
      </x:c>
      <x:c r="M140" s="3" t="n">
        <x:v>0</x:v>
      </x:c>
      <x:c r="N140" s="3" t="n">
        <x:v>422.3</x:v>
      </x:c>
      <x:c r="O140" s="3" t="n">
        <x:v>-422.3</x:v>
      </x:c>
      <x:c r="P140" s="3" t="n">
        <x:v>0</x:v>
      </x:c>
    </x:row>
    <x:row r="141">
      <x:c r="A141" s="1" t="n">
        <x:v>2026</x:v>
      </x:c>
      <x:c r="B141" t="s">
        <x:v>16</x:v>
      </x:c>
      <x:c r="C141" t="s">
        <x:v>17</x:v>
      </x:c>
      <x:c r="D141" t="s">
        <x:v>262</x:v>
      </x:c>
      <x:c r="E141" t="s">
        <x:v>19</x:v>
      </x:c>
      <x:c r="F141" t="s">
        <x:v>263</x:v>
      </x:c>
      <x:c r="G141" s="2" t="d">
        <x:f>46043</x:f>
      </x:c>
      <x:c r="H141" t="s">
        <x:v>21</x:v>
      </x:c>
      <x:c r="I141" s="3" t="n">
        <x:v>1713</x:v>
      </x:c>
      <x:c r="J141" s="3" t="n">
        <x:v>1198.6</x:v>
      </x:c>
      <x:c r="K141" s="3" t="n">
        <x:v>514.4</x:v>
      </x:c>
      <x:c r="L141" s="3" t="n">
        <x:v>30.03</x:v>
      </x:c>
      <x:c r="M141" s="3" t="n">
        <x:v>0</x:v>
      </x:c>
      <x:c r="N141" s="3" t="n">
        <x:v>0</x:v>
      </x:c>
      <x:c r="O141" s="3" t="n">
        <x:v>0</x:v>
      </x:c>
      <x:c r="P141" s="3" t="n">
        <x:v>0</x:v>
      </x:c>
    </x:row>
    <x:row r="142">
      <x:c r="A142" s="1" t="n">
        <x:v>2026</x:v>
      </x:c>
      <x:c r="B142" t="s">
        <x:v>16</x:v>
      </x:c>
      <x:c r="C142" t="s">
        <x:v>17</x:v>
      </x:c>
      <x:c r="D142" t="s">
        <x:v>264</x:v>
      </x:c>
      <x:c r="E142" t="s">
        <x:v>19</x:v>
      </x:c>
      <x:c r="F142" t="s">
        <x:v>265</x:v>
      </x:c>
      <x:c r="G142" s="2" t="d">
        <x:f>46043</x:f>
      </x:c>
      <x:c r="H142" t="s">
        <x:v>21</x:v>
      </x:c>
      <x:c r="I142" s="3" t="n">
        <x:v>600.9</x:v>
      </x:c>
      <x:c r="J142" s="3" t="n">
        <x:v>402.66</x:v>
      </x:c>
      <x:c r="K142" s="3" t="n">
        <x:v>198.24</x:v>
      </x:c>
      <x:c r="L142" s="3" t="n">
        <x:v>32.99</x:v>
      </x:c>
      <x:c r="M142" s="3" t="n">
        <x:v>0</x:v>
      </x:c>
      <x:c r="N142" s="3" t="n">
        <x:v>0</x:v>
      </x:c>
      <x:c r="O142" s="3" t="n">
        <x:v>0</x:v>
      </x:c>
      <x:c r="P142" s="3" t="n">
        <x:v>0</x:v>
      </x:c>
    </x:row>
    <x:row r="143">
      <x:c r="A143" s="1" t="n">
        <x:v>2026</x:v>
      </x:c>
      <x:c r="B143" t="s">
        <x:v>16</x:v>
      </x:c>
      <x:c r="C143" t="s">
        <x:v>17</x:v>
      </x:c>
      <x:c r="D143" t="s">
        <x:v>266</x:v>
      </x:c>
      <x:c r="E143" t="s">
        <x:v>19</x:v>
      </x:c>
      <x:c r="F143" t="s">
        <x:v>267</x:v>
      </x:c>
      <x:c r="G143" s="2" t="d">
        <x:f>46044</x:f>
      </x:c>
      <x:c r="H143" t="s">
        <x:v>21</x:v>
      </x:c>
      <x:c r="I143" s="3" t="n">
        <x:v>268</x:v>
      </x:c>
      <x:c r="J143" s="3" t="n">
        <x:v>179.5</x:v>
      </x:c>
      <x:c r="K143" s="3" t="n">
        <x:v>88.5</x:v>
      </x:c>
      <x:c r="L143" s="3" t="n">
        <x:v>33.02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</x:row>
    <x:row r="144">
      <x:c r="A144" s="1" t="n">
        <x:v>2026</x:v>
      </x:c>
      <x:c r="B144" t="s">
        <x:v>16</x:v>
      </x:c>
      <x:c r="C144" t="s">
        <x:v>17</x:v>
      </x:c>
      <x:c r="D144" t="s">
        <x:v>268</x:v>
      </x:c>
      <x:c r="E144" t="s">
        <x:v>19</x:v>
      </x:c>
      <x:c r="F144" t="s">
        <x:v>269</x:v>
      </x:c>
      <x:c r="G144" s="2" t="d">
        <x:f>46045</x:f>
      </x:c>
      <x:c r="H144" t="s">
        <x:v>21</x:v>
      </x:c>
      <x:c r="I144" s="3" t="n">
        <x:v>152.4</x:v>
      </x:c>
      <x:c r="J144" s="3" t="n">
        <x:v>93.44</x:v>
      </x:c>
      <x:c r="K144" s="3" t="n">
        <x:v>58.96</x:v>
      </x:c>
      <x:c r="L144" s="3" t="n">
        <x:v>38.69</x:v>
      </x:c>
      <x:c r="M144" s="3" t="n">
        <x:v>0</x:v>
      </x:c>
      <x:c r="N144" s="3" t="n">
        <x:v>0</x:v>
      </x:c>
      <x:c r="O144" s="3" t="n">
        <x:v>0</x:v>
      </x:c>
      <x:c r="P144" s="3" t="n">
        <x:v>0</x:v>
      </x:c>
    </x:row>
    <x:row r="145">
      <x:c r="A145" s="1" t="n">
        <x:v>2026</x:v>
      </x:c>
      <x:c r="B145" t="s">
        <x:v>16</x:v>
      </x:c>
      <x:c r="C145" t="s">
        <x:v>17</x:v>
      </x:c>
      <x:c r="D145" t="s">
        <x:v>270</x:v>
      </x:c>
      <x:c r="E145" t="s">
        <x:v>19</x:v>
      </x:c>
      <x:c r="F145" t="s">
        <x:v>271</x:v>
      </x:c>
      <x:c r="G145" s="2" t="d">
        <x:f>46045</x:f>
      </x:c>
      <x:c r="H145" t="s">
        <x:v>21</x:v>
      </x:c>
      <x:c r="I145" s="3" t="n">
        <x:v>1287.2</x:v>
      </x:c>
      <x:c r="J145" s="3" t="n">
        <x:v>883</x:v>
      </x:c>
      <x:c r="K145" s="3" t="n">
        <x:v>404.2</x:v>
      </x:c>
      <x:c r="L145" s="3" t="n">
        <x:v>31.4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</x:row>
    <x:row r="146">
      <x:c r="A146" s="1" t="n">
        <x:v>2026</x:v>
      </x:c>
      <x:c r="B146" t="s">
        <x:v>16</x:v>
      </x:c>
      <x:c r="C146" t="s">
        <x:v>17</x:v>
      </x:c>
      <x:c r="D146" t="s">
        <x:v>272</x:v>
      </x:c>
      <x:c r="E146" t="s">
        <x:v>19</x:v>
      </x:c>
      <x:c r="F146" t="s">
        <x:v>241</x:v>
      </x:c>
      <x:c r="G146" s="2" t="d">
        <x:f>46045</x:f>
      </x:c>
      <x:c r="H146" t="s">
        <x:v>21</x:v>
      </x:c>
      <x:c r="I146" s="3" t="n">
        <x:v>942.35</x:v>
      </x:c>
      <x:c r="J146" s="3" t="n">
        <x:v>670.95</x:v>
      </x:c>
      <x:c r="K146" s="3" t="n">
        <x:v>271.4</x:v>
      </x:c>
      <x:c r="L146" s="3" t="n">
        <x:v>28.8</x:v>
      </x:c>
      <x:c r="M146" s="3" t="n">
        <x:v>0</x:v>
      </x:c>
      <x:c r="N146" s="3" t="n">
        <x:v>0</x:v>
      </x:c>
      <x:c r="O146" s="3" t="n">
        <x:v>0</x:v>
      </x:c>
      <x:c r="P146" s="3" t="n">
        <x:v>0</x:v>
      </x:c>
    </x:row>
    <x:row r="147">
      <x:c r="A147" s="1" t="n">
        <x:v>2026</x:v>
      </x:c>
      <x:c r="B147" t="s">
        <x:v>16</x:v>
      </x:c>
      <x:c r="C147" t="s">
        <x:v>17</x:v>
      </x:c>
      <x:c r="D147" t="s">
        <x:v>273</x:v>
      </x:c>
      <x:c r="E147" t="s">
        <x:v>19</x:v>
      </x:c>
      <x:c r="F147" t="s">
        <x:v>274</x:v>
      </x:c>
      <x:c r="G147" s="2" t="d">
        <x:f>46049</x:f>
      </x:c>
      <x:c r="H147" t="s">
        <x:v>21</x:v>
      </x:c>
      <x:c r="I147" s="3" t="n">
        <x:v>170.9</x:v>
      </x:c>
      <x:c r="J147" s="3" t="n">
        <x:v>108.08</x:v>
      </x:c>
      <x:c r="K147" s="3" t="n">
        <x:v>62.82</x:v>
      </x:c>
      <x:c r="L147" s="3" t="n">
        <x:v>36.76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</x:row>
    <x:row r="148">
      <x:c r="A148" s="1" t="n">
        <x:v>2026</x:v>
      </x:c>
      <x:c r="B148" t="s">
        <x:v>16</x:v>
      </x:c>
      <x:c r="C148" t="s">
        <x:v>17</x:v>
      </x:c>
      <x:c r="D148" t="s">
        <x:v>275</x:v>
      </x:c>
      <x:c r="E148" t="s">
        <x:v>19</x:v>
      </x:c>
      <x:c r="F148" t="s">
        <x:v>230</x:v>
      </x:c>
      <x:c r="G148" s="2" t="d">
        <x:f>46050</x:f>
      </x:c>
      <x:c r="H148" t="s">
        <x:v>21</x:v>
      </x:c>
      <x:c r="I148" s="3" t="n">
        <x:v>579.25</x:v>
      </x:c>
      <x:c r="J148" s="3" t="n">
        <x:v>371</x:v>
      </x:c>
      <x:c r="K148" s="3" t="n">
        <x:v>208.25</x:v>
      </x:c>
      <x:c r="L148" s="3" t="n">
        <x:v>35.95</x:v>
      </x:c>
      <x:c r="M148" s="3" t="n">
        <x:v>0</x:v>
      </x:c>
      <x:c r="N148" s="3" t="n">
        <x:v>0</x:v>
      </x:c>
      <x:c r="O148" s="3" t="n">
        <x:v>0</x:v>
      </x:c>
      <x:c r="P148" s="3" t="n">
        <x:v>0</x:v>
      </x:c>
    </x:row>
    <x:row r="149">
      <x:c r="A149" s="1" t="n">
        <x:v>2026</x:v>
      </x:c>
      <x:c r="B149" t="s">
        <x:v>16</x:v>
      </x:c>
      <x:c r="C149" t="s">
        <x:v>17</x:v>
      </x:c>
      <x:c r="D149" t="s">
        <x:v>276</x:v>
      </x:c>
      <x:c r="E149" t="s">
        <x:v>19</x:v>
      </x:c>
      <x:c r="F149" t="s">
        <x:v>277</x:v>
      </x:c>
      <x:c r="G149" s="2" t="d">
        <x:f>46050</x:f>
      </x:c>
      <x:c r="H149" t="s">
        <x:v>21</x:v>
      </x:c>
      <x:c r="I149" s="3" t="n">
        <x:v>35908.1</x:v>
      </x:c>
      <x:c r="J149" s="3" t="n">
        <x:v>26640.34</x:v>
      </x:c>
      <x:c r="K149" s="3" t="n">
        <x:v>9267.76</x:v>
      </x:c>
      <x:c r="L149" s="3" t="n">
        <x:v>25.81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</x:row>
    <x:row r="150">
      <x:c r="A150" s="1" t="n">
        <x:v>2026</x:v>
      </x:c>
      <x:c r="B150" t="s">
        <x:v>16</x:v>
      </x:c>
      <x:c r="C150" t="s">
        <x:v>17</x:v>
      </x:c>
      <x:c r="D150" t="s">
        <x:v>278</x:v>
      </x:c>
      <x:c r="E150" t="s">
        <x:v>19</x:v>
      </x:c>
      <x:c r="F150" t="s">
        <x:v>237</x:v>
      </x:c>
      <x:c r="G150" s="2" t="d">
        <x:f>46029</x:f>
      </x:c>
      <x:c r="H150" t="s">
        <x:v>21</x:v>
      </x:c>
      <x:c r="I150" s="3" t="n">
        <x:v>3169.5</x:v>
      </x:c>
      <x:c r="J150" s="3" t="n">
        <x:v>1663.09</x:v>
      </x:c>
      <x:c r="K150" s="3" t="n">
        <x:v>1506.41</x:v>
      </x:c>
      <x:c r="L150" s="3" t="n">
        <x:v>47.53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</x:row>
    <x:row r="151">
      <x:c r="A151" s="1" t="n">
        <x:v>2026</x:v>
      </x:c>
      <x:c r="B151" t="s">
        <x:v>16</x:v>
      </x:c>
      <x:c r="C151" t="s">
        <x:v>17</x:v>
      </x:c>
      <x:c r="D151" t="s">
        <x:v>279</x:v>
      </x:c>
      <x:c r="E151" t="s">
        <x:v>19</x:v>
      </x:c>
      <x:c r="F151" t="s">
        <x:v>280</x:v>
      </x:c>
      <x:c r="G151" s="2" t="d">
        <x:f>46036</x:f>
      </x:c>
      <x:c r="H151" t="s">
        <x:v>21</x:v>
      </x:c>
      <x:c r="I151" s="3" t="n">
        <x:v>500</x:v>
      </x:c>
      <x:c r="J151" s="3" t="n">
        <x:v>248</x:v>
      </x:c>
      <x:c r="K151" s="3" t="n">
        <x:v>252</x:v>
      </x:c>
      <x:c r="L151" s="3" t="n">
        <x:v>50.4</x:v>
      </x:c>
      <x:c r="M151" s="3" t="n">
        <x:v>500</x:v>
      </x:c>
      <x:c r="N151" s="3" t="n">
        <x:v>248</x:v>
      </x:c>
      <x:c r="O151" s="3" t="n">
        <x:v>252</x:v>
      </x:c>
      <x:c r="P151" s="3" t="n">
        <x:v>50.4</x:v>
      </x:c>
    </x:row>
  </x:sheetData>
</x:worksheet>
</file>