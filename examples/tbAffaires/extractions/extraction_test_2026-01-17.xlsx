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me\repos\tbAffaires_Opus\.input\extraction\"/>
    </mc:Choice>
  </mc:AlternateContent>
  <xr:revisionPtr revIDLastSave="0" documentId="13_ncr:1_{41C07C2C-F0F5-4584-990A-86F27C5CF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6" i="1" l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<sst xmlns="http://schemas.openxmlformats.org/spreadsheetml/2006/main" count="13771" uniqueCount="2423">
  <si>
    <t>Année</t>
  </si>
  <si>
    <t>Mois</t>
  </si>
  <si>
    <t>Commercial</t>
  </si>
  <si>
    <t>Code affaire</t>
  </si>
  <si>
    <t>état affaire</t>
  </si>
  <si>
    <t>Raison sociale</t>
  </si>
  <si>
    <t>Date de début</t>
  </si>
  <si>
    <t>Resp. princ.</t>
  </si>
  <si>
    <t>CA prévu</t>
  </si>
  <si>
    <t>Coût prévu</t>
  </si>
  <si>
    <t>Marge prévue</t>
  </si>
  <si>
    <t>%</t>
  </si>
  <si>
    <t>CA réel</t>
  </si>
  <si>
    <t>Coût réel</t>
  </si>
  <si>
    <t>Marge réelle</t>
  </si>
  <si>
    <t>2025</t>
  </si>
  <si>
    <t>1</t>
  </si>
  <si>
    <t>HOSTEIN 06.83.23.67.63</t>
  </si>
  <si>
    <t>AN  060986     00</t>
  </si>
  <si>
    <t>Clôturé</t>
  </si>
  <si>
    <t>PONTHIER SA</t>
  </si>
  <si>
    <t>AN  060992     00</t>
  </si>
  <si>
    <t>AN  060995     00</t>
  </si>
  <si>
    <t>NEXIRA</t>
  </si>
  <si>
    <t>AN  061000     00</t>
  </si>
  <si>
    <t>AN  061039     00</t>
  </si>
  <si>
    <t>SICAME</t>
  </si>
  <si>
    <t>AN  061051     00</t>
  </si>
  <si>
    <t>INTERSPRAY</t>
  </si>
  <si>
    <t>AN  061056     00</t>
  </si>
  <si>
    <t>AN  061079     00</t>
  </si>
  <si>
    <t>HYDROLEC</t>
  </si>
  <si>
    <t>AN  061092     00</t>
  </si>
  <si>
    <t>BLEDINA</t>
  </si>
  <si>
    <t>AN  061096     00</t>
  </si>
  <si>
    <t>DELVERT CONFITURES SAS</t>
  </si>
  <si>
    <t>AN  061104     00</t>
  </si>
  <si>
    <t>GERSON</t>
  </si>
  <si>
    <t>AN  061144     00</t>
  </si>
  <si>
    <t>SHEM USINE DE MAREGES</t>
  </si>
  <si>
    <t>AN  061165     00</t>
  </si>
  <si>
    <t>AN  061178     00</t>
  </si>
  <si>
    <t>FRV France</t>
  </si>
  <si>
    <t>AF  060974     00</t>
  </si>
  <si>
    <t>SIEBEC</t>
  </si>
  <si>
    <t>AF  060975     00</t>
  </si>
  <si>
    <t>AR  060595     00</t>
  </si>
  <si>
    <t>En chiffrage</t>
  </si>
  <si>
    <t>CREACTIV</t>
  </si>
  <si>
    <t>AN  061151     00</t>
  </si>
  <si>
    <t>CIR SITE PFDC AVENE</t>
  </si>
  <si>
    <t>JP</t>
  </si>
  <si>
    <t>AN  061163     00</t>
  </si>
  <si>
    <t>THERMES DE LAMALOU LES BAINS</t>
  </si>
  <si>
    <t>AN  061175     00</t>
  </si>
  <si>
    <t>DEFI SYSTEMES</t>
  </si>
  <si>
    <t>NS</t>
  </si>
  <si>
    <t>AN  061186     00</t>
  </si>
  <si>
    <t>GAILLARD 06.10.04.77.33</t>
  </si>
  <si>
    <t>AF  061035     00</t>
  </si>
  <si>
    <t>CELLULOPACK</t>
  </si>
  <si>
    <t>AN  060963     00</t>
  </si>
  <si>
    <t>BOEHRINGER INGELHEIM ANIMAL</t>
  </si>
  <si>
    <t>AN  060966     00</t>
  </si>
  <si>
    <t>NUTRIBIO</t>
  </si>
  <si>
    <t>AN  060967     00</t>
  </si>
  <si>
    <t>AN  060968     00</t>
  </si>
  <si>
    <t>YEO FRAIS</t>
  </si>
  <si>
    <t>AN  060972     00</t>
  </si>
  <si>
    <t>ICR-ACHAT.MATERIEL</t>
  </si>
  <si>
    <t>MEL</t>
  </si>
  <si>
    <t>AN  060980     00</t>
  </si>
  <si>
    <t>AN  060981     00</t>
  </si>
  <si>
    <t>QUERCY REFRIGERATION EURL</t>
  </si>
  <si>
    <t>AN  060982     00</t>
  </si>
  <si>
    <t>AJINOMOTO FROZEN FOODS FRANCE</t>
  </si>
  <si>
    <t>AN  060993     00</t>
  </si>
  <si>
    <t>AGRONUTRITION ( EX AMIFLOR)</t>
  </si>
  <si>
    <t>AN  060994     00</t>
  </si>
  <si>
    <t>SOCIETE LAITIERE DE MONTAUBAN</t>
  </si>
  <si>
    <t>AN  060997     00</t>
  </si>
  <si>
    <t>SAINT ANTONIN EAUX MINERALES</t>
  </si>
  <si>
    <t>AN  061001     00</t>
  </si>
  <si>
    <t>AN  061003     00</t>
  </si>
  <si>
    <t>APA</t>
  </si>
  <si>
    <t>AN  061009     00</t>
  </si>
  <si>
    <t>PAPETERIES DE SAINT GIRONS</t>
  </si>
  <si>
    <t>AN  061013     00</t>
  </si>
  <si>
    <t>AN  061015     00</t>
  </si>
  <si>
    <t>SICOVAL</t>
  </si>
  <si>
    <t>AN  061016     00</t>
  </si>
  <si>
    <t>AN  061018     00</t>
  </si>
  <si>
    <t>AN  061021     00</t>
  </si>
  <si>
    <t>STANOR</t>
  </si>
  <si>
    <t>AN  061023     00</t>
  </si>
  <si>
    <t>EDF USINES D'ASTON</t>
  </si>
  <si>
    <t>AN  061024     00</t>
  </si>
  <si>
    <t>LIANTS ROUTIERS DE GARONNE</t>
  </si>
  <si>
    <t>AN  061029     00</t>
  </si>
  <si>
    <t>SERVICES INDUSTRIES</t>
  </si>
  <si>
    <t>AN  061031     00</t>
  </si>
  <si>
    <t>AN  061032     00</t>
  </si>
  <si>
    <t>AN  061036     00</t>
  </si>
  <si>
    <t>ACTEMIUM MAINTENANCE TOULOUSE</t>
  </si>
  <si>
    <t>AN  061047     00</t>
  </si>
  <si>
    <t>CASTEL METAL</t>
  </si>
  <si>
    <t>AN  061048     00</t>
  </si>
  <si>
    <t>AN  061049     00</t>
  </si>
  <si>
    <t>METALO MECANIQUE **</t>
  </si>
  <si>
    <t>AN  061052     00</t>
  </si>
  <si>
    <t>AN  061054     00</t>
  </si>
  <si>
    <t>CIR SITE PFMP GAILLAC</t>
  </si>
  <si>
    <t>AN  061057     00</t>
  </si>
  <si>
    <t>CEGELEC TOULOUSE (GÉNIE CLIM)</t>
  </si>
  <si>
    <t>AN  061071     00</t>
  </si>
  <si>
    <t>BAEY JOEL</t>
  </si>
  <si>
    <t>AN  061074     00</t>
  </si>
  <si>
    <t>AN  061075     00</t>
  </si>
  <si>
    <t>AN  061078     00</t>
  </si>
  <si>
    <t>CLIENT COMPTOIR</t>
  </si>
  <si>
    <t>AN  061082     00</t>
  </si>
  <si>
    <t>ALPHA RECYCLAGE COMPOSITES</t>
  </si>
  <si>
    <t>AN  061090     00</t>
  </si>
  <si>
    <t>FROMAGERIES DE LA CORE CAZALAS</t>
  </si>
  <si>
    <t>AN  061093     00</t>
  </si>
  <si>
    <t>AN  061095     00</t>
  </si>
  <si>
    <t>SOLUDIA MOZARC MEDICAL</t>
  </si>
  <si>
    <t>AN  061106     00</t>
  </si>
  <si>
    <t>AN  061109     00</t>
  </si>
  <si>
    <t>STAS DOYER HYDROTHERAPIE SA</t>
  </si>
  <si>
    <t>AN  061113     00</t>
  </si>
  <si>
    <t>CIR SITE PFDC SOUAL</t>
  </si>
  <si>
    <t>AN  061117     00</t>
  </si>
  <si>
    <t>AN  061119     00</t>
  </si>
  <si>
    <t>GRETEL</t>
  </si>
  <si>
    <t>AN  061126     00</t>
  </si>
  <si>
    <t>AN  061130     00</t>
  </si>
  <si>
    <t>GENIBIO (EX PILEJE)</t>
  </si>
  <si>
    <t>AN  061135     00</t>
  </si>
  <si>
    <t>TERRENNE SAS</t>
  </si>
  <si>
    <t>AN  061136     00</t>
  </si>
  <si>
    <t>ARNAUDO</t>
  </si>
  <si>
    <t>AN  061140     00</t>
  </si>
  <si>
    <t>AN  061146     00</t>
  </si>
  <si>
    <t>GACHES CHIMIE 31 (406056)</t>
  </si>
  <si>
    <t>AN  061154     00</t>
  </si>
  <si>
    <t>PIERRE DE PLAN SA</t>
  </si>
  <si>
    <t>AN  061155     00</t>
  </si>
  <si>
    <t>AN  061156     00</t>
  </si>
  <si>
    <t>AN  061157     00</t>
  </si>
  <si>
    <t>AN  061158     00</t>
  </si>
  <si>
    <t>AN  061161     00</t>
  </si>
  <si>
    <t>SYNDICAT MIXTE DES EAUX CONFLUENCES</t>
  </si>
  <si>
    <t>AN  061162     00</t>
  </si>
  <si>
    <t>CIR CASTRES</t>
  </si>
  <si>
    <t>AN  061164     00</t>
  </si>
  <si>
    <t>SOVERDI ITREN</t>
  </si>
  <si>
    <t>AN  061166     00</t>
  </si>
  <si>
    <t>AN  061167     00</t>
  </si>
  <si>
    <t>GEMESA</t>
  </si>
  <si>
    <t>AN  061168     00</t>
  </si>
  <si>
    <t>AN  061171     00</t>
  </si>
  <si>
    <t>AN  061174     00</t>
  </si>
  <si>
    <t>AN  061176     00</t>
  </si>
  <si>
    <t>AUTONEUM FRANCE SAS</t>
  </si>
  <si>
    <t>AN  061183     00</t>
  </si>
  <si>
    <t>AN  061184     00</t>
  </si>
  <si>
    <t>AR  060143     00</t>
  </si>
  <si>
    <t>ENROBES DE TOULOUSE NORD</t>
  </si>
  <si>
    <t>AN  060965     00</t>
  </si>
  <si>
    <t>AN  060989     00</t>
  </si>
  <si>
    <t>AN  060991     00</t>
  </si>
  <si>
    <t>SOULIE RESTAURATION</t>
  </si>
  <si>
    <t>AN  061004     00</t>
  </si>
  <si>
    <t>AN  061007     00</t>
  </si>
  <si>
    <t>AN  061011     00</t>
  </si>
  <si>
    <t>CREI</t>
  </si>
  <si>
    <t>AN  061014     00</t>
  </si>
  <si>
    <t>AN  061038     00</t>
  </si>
  <si>
    <t>AN  061043     00</t>
  </si>
  <si>
    <t>AN  061086     00</t>
  </si>
  <si>
    <t>CIR RODEZ</t>
  </si>
  <si>
    <t>AN  061101     00</t>
  </si>
  <si>
    <t>AN  061103     00</t>
  </si>
  <si>
    <t>LISI BLANC AERO INDUSTRIES SAS</t>
  </si>
  <si>
    <t>AR  060306     00</t>
  </si>
  <si>
    <t>NEXSON SERVICES (GEORGES AMEN)</t>
  </si>
  <si>
    <t>ROSIER 06.27.35.37.45</t>
  </si>
  <si>
    <t>AN  060962     00</t>
  </si>
  <si>
    <t>DANONE 32</t>
  </si>
  <si>
    <t>AN  060973     00</t>
  </si>
  <si>
    <t>DRT</t>
  </si>
  <si>
    <t>AN  060976     00</t>
  </si>
  <si>
    <t>MAISON BONCOLAC</t>
  </si>
  <si>
    <t>AN  060985     00</t>
  </si>
  <si>
    <t>AN  060987     00</t>
  </si>
  <si>
    <t>CIR PAU</t>
  </si>
  <si>
    <t>AN  060988     00</t>
  </si>
  <si>
    <t>ALIA PRODUCTIONS</t>
  </si>
  <si>
    <t>AN  060999     00</t>
  </si>
  <si>
    <t>MPS</t>
  </si>
  <si>
    <t>AN  061022     00</t>
  </si>
  <si>
    <t>COLAS SUD OUEST SOTRASO</t>
  </si>
  <si>
    <t>AN  061037     00</t>
  </si>
  <si>
    <t>CIR SITE PFMP AIGNAN</t>
  </si>
  <si>
    <t>AN  061040     00</t>
  </si>
  <si>
    <t>LIANTS DE GASCOGNE</t>
  </si>
  <si>
    <t>AN  061041     00</t>
  </si>
  <si>
    <t>ACTION PIN</t>
  </si>
  <si>
    <t>AN  061044     00</t>
  </si>
  <si>
    <t>AN  061046     00</t>
  </si>
  <si>
    <t>KNAUF INSULATION</t>
  </si>
  <si>
    <t>AN  061053     00</t>
  </si>
  <si>
    <t>CHEMVIRON PARENTIS SAS</t>
  </si>
  <si>
    <t>AN  061058     00</t>
  </si>
  <si>
    <t>CANARDS D'AUZAN (LES)</t>
  </si>
  <si>
    <t>AN  061065     00</t>
  </si>
  <si>
    <t>PROLAINAT SA</t>
  </si>
  <si>
    <t>AN  061070     00</t>
  </si>
  <si>
    <t>LES FROMAGERIES OCCITANES</t>
  </si>
  <si>
    <t>AN  061072     00</t>
  </si>
  <si>
    <t>AN  061083     00</t>
  </si>
  <si>
    <t>COMMUNAUTE D'AGGLOMERATION TARBES</t>
  </si>
  <si>
    <t>AN  061084     00</t>
  </si>
  <si>
    <t>AQUITAINE LEGUMES SURGELES</t>
  </si>
  <si>
    <t>AN  061094     00</t>
  </si>
  <si>
    <t>LIMBIS SARL (EX TCS)</t>
  </si>
  <si>
    <t>AN  061107     00</t>
  </si>
  <si>
    <t>JEAN LUTZ SA **</t>
  </si>
  <si>
    <t>AN  061110     00</t>
  </si>
  <si>
    <t>AN  061111     00</t>
  </si>
  <si>
    <t>AN  061112     00</t>
  </si>
  <si>
    <t>AN  061114     00</t>
  </si>
  <si>
    <t>THERMES DE BARBOTAN</t>
  </si>
  <si>
    <t>AN  061120     00</t>
  </si>
  <si>
    <t>LURALI</t>
  </si>
  <si>
    <t>AN  061125     00</t>
  </si>
  <si>
    <t>AN  061128     00</t>
  </si>
  <si>
    <t>AN  061129     00</t>
  </si>
  <si>
    <t>AN  061137     00</t>
  </si>
  <si>
    <t>AN  061138     00</t>
  </si>
  <si>
    <t>AN  061143     00</t>
  </si>
  <si>
    <t>AN  061150     00</t>
  </si>
  <si>
    <t>AN  061152     00</t>
  </si>
  <si>
    <t>LAULHERE</t>
  </si>
  <si>
    <t>AN  061170     00</t>
  </si>
  <si>
    <t>AN  061172     00</t>
  </si>
  <si>
    <t>AN  061173     00</t>
  </si>
  <si>
    <t>CIR SITE FAREVA IDRON</t>
  </si>
  <si>
    <t>AN  061179     00</t>
  </si>
  <si>
    <t>AN  061182     00</t>
  </si>
  <si>
    <t>AN  061185     00</t>
  </si>
  <si>
    <t>DERIGON 06.70.09.32.38</t>
  </si>
  <si>
    <t>AN  060969     00</t>
  </si>
  <si>
    <t>SIAP</t>
  </si>
  <si>
    <t>AN  060970     00</t>
  </si>
  <si>
    <t>AHLSTROM SPECIALITIES SAS</t>
  </si>
  <si>
    <t>AN  060979     00</t>
  </si>
  <si>
    <t>SAFT NERSAC</t>
  </si>
  <si>
    <t>AN  060983     00</t>
  </si>
  <si>
    <t>EXXELIA SAS (EX TEMEX CERAMIC) 33</t>
  </si>
  <si>
    <t>AN  060984     00</t>
  </si>
  <si>
    <t>AN  060996     00</t>
  </si>
  <si>
    <t>ABZAC FRANCE</t>
  </si>
  <si>
    <t>AN  060998     00</t>
  </si>
  <si>
    <t>SANOFI WINTHROP INDUSTRIE</t>
  </si>
  <si>
    <t>AN  061008     00</t>
  </si>
  <si>
    <t>ROUSSELOT ANGOULÊME SAS</t>
  </si>
  <si>
    <t>AN  061026     00</t>
  </si>
  <si>
    <t>MAISON JOHANES BOUBEE</t>
  </si>
  <si>
    <t>AN  061030     00</t>
  </si>
  <si>
    <t>AN  061034     00</t>
  </si>
  <si>
    <t>SMURFIT WESTROCK</t>
  </si>
  <si>
    <t>AN  061055     00</t>
  </si>
  <si>
    <t>AN  061059     00</t>
  </si>
  <si>
    <t>AN  061060     00</t>
  </si>
  <si>
    <t>NOURYON PULP &amp; PERFOMANCE CHEMICALS</t>
  </si>
  <si>
    <t>AN  061062     00</t>
  </si>
  <si>
    <t>AN  061063     00</t>
  </si>
  <si>
    <t>FRONERI VAYRES</t>
  </si>
  <si>
    <t>AN  061080     00</t>
  </si>
  <si>
    <t>CEREXAGRI SAS</t>
  </si>
  <si>
    <t>AN  061081     00</t>
  </si>
  <si>
    <t>AN  061085     00</t>
  </si>
  <si>
    <t>BMI PRODUCTION FRANCE MONIER</t>
  </si>
  <si>
    <t>AN  061116     00</t>
  </si>
  <si>
    <t>SYENSQO</t>
  </si>
  <si>
    <t>AN  061121     00</t>
  </si>
  <si>
    <t>CORDIER EXCEL</t>
  </si>
  <si>
    <t>AN  061127     00</t>
  </si>
  <si>
    <t>MONDELEZ FRANCE BISCUITS PROD</t>
  </si>
  <si>
    <t>AN  061132     00</t>
  </si>
  <si>
    <t>BARDINET</t>
  </si>
  <si>
    <t>AN  061145     00</t>
  </si>
  <si>
    <t>AN  061148     00</t>
  </si>
  <si>
    <t>DANISCO IFF</t>
  </si>
  <si>
    <t>AN  061149     00</t>
  </si>
  <si>
    <t>AN  061153     00</t>
  </si>
  <si>
    <t>AN  061160     00</t>
  </si>
  <si>
    <t>JV COATING</t>
  </si>
  <si>
    <t>AN  061177     00</t>
  </si>
  <si>
    <t>XELLA THERMOPIERRE</t>
  </si>
  <si>
    <t>AN  061181     00</t>
  </si>
  <si>
    <t>BIO FERME</t>
  </si>
  <si>
    <t>AR  060829     00</t>
  </si>
  <si>
    <t>EUROVIA</t>
  </si>
  <si>
    <t>AN  061087     00</t>
  </si>
  <si>
    <t>FIRMENICH</t>
  </si>
  <si>
    <t>AF  061067     00</t>
  </si>
  <si>
    <t>SOGAD</t>
  </si>
  <si>
    <t>AN  060834     00</t>
  </si>
  <si>
    <t>BIOVIVER CONSERVERIE</t>
  </si>
  <si>
    <t>AN  060964     00</t>
  </si>
  <si>
    <t>BROUILLON PROCESS SA</t>
  </si>
  <si>
    <t>AN  060971     00</t>
  </si>
  <si>
    <t>AN  060977     00</t>
  </si>
  <si>
    <t>RATIER FIGEAC</t>
  </si>
  <si>
    <t>AN  060978     00</t>
  </si>
  <si>
    <t>DEUERER PETCARE FRANCE</t>
  </si>
  <si>
    <t>AN  060990     00</t>
  </si>
  <si>
    <t>CREUZET AERONAUTIQUE</t>
  </si>
  <si>
    <t>AN  061005     00</t>
  </si>
  <si>
    <t>ANDROS SNC USINE ANDROS</t>
  </si>
  <si>
    <t>AN  061012     00</t>
  </si>
  <si>
    <t>BIOQUERCY GRAMAT</t>
  </si>
  <si>
    <t>AN  061017     00</t>
  </si>
  <si>
    <t>LUCIEN GEORGELIN</t>
  </si>
  <si>
    <t>AN  061019     00</t>
  </si>
  <si>
    <t>ELOTEC * *</t>
  </si>
  <si>
    <t>AN  061020     00</t>
  </si>
  <si>
    <t>AN  061033     00</t>
  </si>
  <si>
    <t>CONSERVES FRANCE 47</t>
  </si>
  <si>
    <t>AN  061042     00</t>
  </si>
  <si>
    <t>POLYREY COUZE</t>
  </si>
  <si>
    <t>AN  061045     00</t>
  </si>
  <si>
    <t>AN  061050     00</t>
  </si>
  <si>
    <t>AN  061061     00</t>
  </si>
  <si>
    <t>ANDROS SNC USINE BOIN</t>
  </si>
  <si>
    <t>AN  061064     00</t>
  </si>
  <si>
    <t>SAUR MONTCUQ</t>
  </si>
  <si>
    <t>AN  061066     00</t>
  </si>
  <si>
    <t>AN  061068     00</t>
  </si>
  <si>
    <t>STEICO CASTELJALOUX SAS</t>
  </si>
  <si>
    <t>AN  061073     00</t>
  </si>
  <si>
    <t>LA QUERCYNOISE</t>
  </si>
  <si>
    <t>AN  061076     00</t>
  </si>
  <si>
    <t>ST DALFOUR SAS</t>
  </si>
  <si>
    <t>AN  061077     00</t>
  </si>
  <si>
    <t>CURIA FRANCE SAS</t>
  </si>
  <si>
    <t>AN  061088     00</t>
  </si>
  <si>
    <t>PEINTURES SOB *</t>
  </si>
  <si>
    <t>AN  061091     00</t>
  </si>
  <si>
    <t>AN  061097     00</t>
  </si>
  <si>
    <t>TRADIFRAIS</t>
  </si>
  <si>
    <t>AN  061099     00</t>
  </si>
  <si>
    <t>AN  061100     00</t>
  </si>
  <si>
    <t>AN  061102     00</t>
  </si>
  <si>
    <t>AN  061105     00</t>
  </si>
  <si>
    <t>AN  061108     00</t>
  </si>
  <si>
    <t>VITAMONT</t>
  </si>
  <si>
    <t>AN  061118     00</t>
  </si>
  <si>
    <t>ABE NEGOCE</t>
  </si>
  <si>
    <t>AN  061122     00</t>
  </si>
  <si>
    <t>SAINT MICHEL CHAMPAGNAC</t>
  </si>
  <si>
    <t>AN  061123     00</t>
  </si>
  <si>
    <t>AN  061124     00</t>
  </si>
  <si>
    <t>CMV CONSTRUCTIONS</t>
  </si>
  <si>
    <t>AN  061131     00</t>
  </si>
  <si>
    <t>MATELEC SERVICE</t>
  </si>
  <si>
    <t>AN  061133     00</t>
  </si>
  <si>
    <t>AURIOL SA</t>
  </si>
  <si>
    <t>AN  061142     00</t>
  </si>
  <si>
    <t>SAFIM DEXIS 47</t>
  </si>
  <si>
    <t>AN  061147     00</t>
  </si>
  <si>
    <t>AN  061159     00</t>
  </si>
  <si>
    <t>AN  061180     00</t>
  </si>
  <si>
    <t>AR  060741     00</t>
  </si>
  <si>
    <t>AR  061027     00</t>
  </si>
  <si>
    <t>AR  061028     00</t>
  </si>
  <si>
    <t>2</t>
  </si>
  <si>
    <t>AN  061260     00</t>
  </si>
  <si>
    <t>AN  061280     00</t>
  </si>
  <si>
    <t>JR TECH</t>
  </si>
  <si>
    <t>AN  061302     00</t>
  </si>
  <si>
    <t>VALADE</t>
  </si>
  <si>
    <t>AN  061325     00</t>
  </si>
  <si>
    <t>AN  061333     00</t>
  </si>
  <si>
    <t>AN  061358     00</t>
  </si>
  <si>
    <t>SYNDICAT PUY DES FOURCHES VEZERE</t>
  </si>
  <si>
    <t>AN  061389     00</t>
  </si>
  <si>
    <t>MADELEINES BIJOU</t>
  </si>
  <si>
    <t>AN  061393     00</t>
  </si>
  <si>
    <t>PANNEAUX DE CORREZE</t>
  </si>
  <si>
    <t>AF  061306     00</t>
  </si>
  <si>
    <t>AF  061308     00</t>
  </si>
  <si>
    <t>AN  061187     00</t>
  </si>
  <si>
    <t>TYCO INTEGRATED FIRE &amp; SECURITY</t>
  </si>
  <si>
    <t>AN  061215     00</t>
  </si>
  <si>
    <t>AR  061220     00</t>
  </si>
  <si>
    <t>AN  061266     00</t>
  </si>
  <si>
    <t>SUEZ</t>
  </si>
  <si>
    <t>AN  061282     00</t>
  </si>
  <si>
    <t>GEOBIO (RAZEL BEC)</t>
  </si>
  <si>
    <t>AN  061318     00</t>
  </si>
  <si>
    <t>OCCITANE PLATS CUISINES</t>
  </si>
  <si>
    <t>AN  061376     00</t>
  </si>
  <si>
    <t>AN  060092     00</t>
  </si>
  <si>
    <t>AN  061141     00</t>
  </si>
  <si>
    <t>VILLEROY ET BOCH SAS</t>
  </si>
  <si>
    <t>AN  061191     00</t>
  </si>
  <si>
    <t>GACHES CHIMIE SPECIALITES</t>
  </si>
  <si>
    <t>AN  061193     00</t>
  </si>
  <si>
    <t>AN  061194     00</t>
  </si>
  <si>
    <t>AN  061196     00</t>
  </si>
  <si>
    <t>FOURMENT SA</t>
  </si>
  <si>
    <t>AN  061200     00</t>
  </si>
  <si>
    <t>AN  061201     00</t>
  </si>
  <si>
    <t>AN  061208     00</t>
  </si>
  <si>
    <t>AN  061210     00</t>
  </si>
  <si>
    <t>ALUDIUM (EX ALCOA)</t>
  </si>
  <si>
    <t>AN  061212     00</t>
  </si>
  <si>
    <t>FLEURET SA</t>
  </si>
  <si>
    <t>AN  061213     00</t>
  </si>
  <si>
    <t>AN  061217     00</t>
  </si>
  <si>
    <t>AN  061218     00</t>
  </si>
  <si>
    <t>ECRIT</t>
  </si>
  <si>
    <t>AN  061219     00</t>
  </si>
  <si>
    <t>AUBERT &amp; DUVAL (ERAMET)</t>
  </si>
  <si>
    <t>AN  061221     00</t>
  </si>
  <si>
    <t>AN  061222     00</t>
  </si>
  <si>
    <t>AN  061224     00</t>
  </si>
  <si>
    <t>AN  061225     00</t>
  </si>
  <si>
    <t>AN  061235     00</t>
  </si>
  <si>
    <t>AN  061251     00</t>
  </si>
  <si>
    <t>TRIMET FRANCE</t>
  </si>
  <si>
    <t>AN  061263     00</t>
  </si>
  <si>
    <t>FRAUNIE PLANTS</t>
  </si>
  <si>
    <t>AN  061272     00</t>
  </si>
  <si>
    <t>AN  061273     00</t>
  </si>
  <si>
    <t>KSB SERVICE</t>
  </si>
  <si>
    <t>AN  061274     00</t>
  </si>
  <si>
    <t>AN  061277     00</t>
  </si>
  <si>
    <t>AN  061281     00</t>
  </si>
  <si>
    <t>DIVINA SARL</t>
  </si>
  <si>
    <t>AN  061287     00</t>
  </si>
  <si>
    <t>AN  061297     00</t>
  </si>
  <si>
    <t>AN  061299     00</t>
  </si>
  <si>
    <t>AN  061301     00</t>
  </si>
  <si>
    <t>AN  061303     00</t>
  </si>
  <si>
    <t>AN  061305     00</t>
  </si>
  <si>
    <t>SEPIPROD</t>
  </si>
  <si>
    <t>AN  061307     00</t>
  </si>
  <si>
    <t>AN  061309     00</t>
  </si>
  <si>
    <t>AN  061314     00</t>
  </si>
  <si>
    <t>AN  061315     00</t>
  </si>
  <si>
    <t>AQUAEXO</t>
  </si>
  <si>
    <t>AN  061317     00</t>
  </si>
  <si>
    <t>SYNDICAT MIXTE D'EAU POTABLE (SMEP)</t>
  </si>
  <si>
    <t>AN  061323     00</t>
  </si>
  <si>
    <t>AN  061327     00</t>
  </si>
  <si>
    <t>AN  061328     00</t>
  </si>
  <si>
    <t>AN  061332     00</t>
  </si>
  <si>
    <t>AN  061338     00</t>
  </si>
  <si>
    <t>PAPETERIES LEON MARTIN</t>
  </si>
  <si>
    <t>AN  061339     00</t>
  </si>
  <si>
    <t>GELATINES WEISHARDT</t>
  </si>
  <si>
    <t>AN  061341     00</t>
  </si>
  <si>
    <t>AN  061342     00</t>
  </si>
  <si>
    <t>AN  061347     00</t>
  </si>
  <si>
    <t>AN  061349     00</t>
  </si>
  <si>
    <t>AN  061355     00</t>
  </si>
  <si>
    <t>AN  061362     00</t>
  </si>
  <si>
    <t>AN  061364     00</t>
  </si>
  <si>
    <t>AN  061365     00</t>
  </si>
  <si>
    <t>AN  061377     00</t>
  </si>
  <si>
    <t>AN  061379     00</t>
  </si>
  <si>
    <t>BOBINAGE MOISSAGAIS</t>
  </si>
  <si>
    <t>AN  061382     00</t>
  </si>
  <si>
    <t>MERIS SARL</t>
  </si>
  <si>
    <t>AN  061387     00</t>
  </si>
  <si>
    <t>CIR MONTAUBAN</t>
  </si>
  <si>
    <t>AN  061388     00</t>
  </si>
  <si>
    <t>AN  061396     00</t>
  </si>
  <si>
    <t>COUSIN PRADERE***</t>
  </si>
  <si>
    <t>AN  061197     00</t>
  </si>
  <si>
    <t>AN  061202     00</t>
  </si>
  <si>
    <t>AN  061229     00</t>
  </si>
  <si>
    <t>AN  061242     00</t>
  </si>
  <si>
    <t>AN  061261     00</t>
  </si>
  <si>
    <t>VM BUILDING SOLUTIONS (EX UMICORE)</t>
  </si>
  <si>
    <t>AN  061285     00</t>
  </si>
  <si>
    <t>FROMAGERIES PAPILLON</t>
  </si>
  <si>
    <t>AN  061319     00</t>
  </si>
  <si>
    <t>AN  061343     00</t>
  </si>
  <si>
    <t>RAYNAL &amp; ROQUELAURE 12</t>
  </si>
  <si>
    <t>AN  061378     00</t>
  </si>
  <si>
    <t>AN  061398     00</t>
  </si>
  <si>
    <t>LA BELLE CHAURIENNE</t>
  </si>
  <si>
    <t>AN  061192     00</t>
  </si>
  <si>
    <t>AN  061199     00</t>
  </si>
  <si>
    <t>AN  061203     00</t>
  </si>
  <si>
    <t>RAYONIER A.M.TARTAS</t>
  </si>
  <si>
    <t>AN  061206     00</t>
  </si>
  <si>
    <t>MGEN L'ARBIZON</t>
  </si>
  <si>
    <t>AN  061209     00</t>
  </si>
  <si>
    <t>CAVE DE PLAIMONT</t>
  </si>
  <si>
    <t>AN  061227     00</t>
  </si>
  <si>
    <t>PSI ENVIRONNEMENT</t>
  </si>
  <si>
    <t>AN  061233     00</t>
  </si>
  <si>
    <t>AN  061238     00</t>
  </si>
  <si>
    <t>AN  061239     00</t>
  </si>
  <si>
    <t>ECOPUR PYRENEES</t>
  </si>
  <si>
    <t>AN  061243     00</t>
  </si>
  <si>
    <t>AN  061245     00</t>
  </si>
  <si>
    <t>AQMO PAU</t>
  </si>
  <si>
    <t>AN  061254     00</t>
  </si>
  <si>
    <t>AN  061258     00</t>
  </si>
  <si>
    <t>AN  061262     00</t>
  </si>
  <si>
    <t>AN  061264     00</t>
  </si>
  <si>
    <t>AN  061265     00</t>
  </si>
  <si>
    <t>RYAM BIONOVA FRANCE</t>
  </si>
  <si>
    <t>AN  061275     00</t>
  </si>
  <si>
    <t>AN  061288     00</t>
  </si>
  <si>
    <t>AN  061291     00</t>
  </si>
  <si>
    <t>AN  061293     00</t>
  </si>
  <si>
    <t>AN  061311     00</t>
  </si>
  <si>
    <t>AN  061313     00</t>
  </si>
  <si>
    <t>AN  061320     00</t>
  </si>
  <si>
    <t>ONETIK</t>
  </si>
  <si>
    <t>AN  061324     00</t>
  </si>
  <si>
    <t>AN  061329     00</t>
  </si>
  <si>
    <t>AN  061331     00</t>
  </si>
  <si>
    <t>AN  061345     00</t>
  </si>
  <si>
    <t>LABORATOIRE BIOLUZ</t>
  </si>
  <si>
    <t>AN  061348     00</t>
  </si>
  <si>
    <t>AN  061361     00</t>
  </si>
  <si>
    <t>AN  061363     00</t>
  </si>
  <si>
    <t>AN  061366     00</t>
  </si>
  <si>
    <t>AN  061368     00</t>
  </si>
  <si>
    <t>AN  061369     00</t>
  </si>
  <si>
    <t>AN  061372     00</t>
  </si>
  <si>
    <t>FAMILLE MICHAUD APICULTEURS</t>
  </si>
  <si>
    <t>AN  061373     00</t>
  </si>
  <si>
    <t>AN  061391     00</t>
  </si>
  <si>
    <t>LINDT ET SPRUNGLI SAS</t>
  </si>
  <si>
    <t>AN  061392     00</t>
  </si>
  <si>
    <t>AN  061400     00</t>
  </si>
  <si>
    <t>AGOUR FROMAGES</t>
  </si>
  <si>
    <t>AN  061401     00</t>
  </si>
  <si>
    <t>AN  061402     00</t>
  </si>
  <si>
    <t>AR  061244     00</t>
  </si>
  <si>
    <t>SL</t>
  </si>
  <si>
    <t>AR  061246     00</t>
  </si>
  <si>
    <t>AR  061247     00</t>
  </si>
  <si>
    <t>AR  061248     00</t>
  </si>
  <si>
    <t>AF  061344     00</t>
  </si>
  <si>
    <t>AN  061190     00</t>
  </si>
  <si>
    <t>AN  061205     00</t>
  </si>
  <si>
    <t>AN  061207     00</t>
  </si>
  <si>
    <t>AN  061223     00</t>
  </si>
  <si>
    <t>AN  061228     00</t>
  </si>
  <si>
    <t>MARTELL &amp; CO</t>
  </si>
  <si>
    <t>AN  061230     00</t>
  </si>
  <si>
    <t>AQMO BORDEAUX</t>
  </si>
  <si>
    <t>AN  061234     00</t>
  </si>
  <si>
    <t>SAFIM BORDEAUX</t>
  </si>
  <si>
    <t>AN  061236     00</t>
  </si>
  <si>
    <t>AN  061240     00</t>
  </si>
  <si>
    <t>AN  061249     00</t>
  </si>
  <si>
    <t>AN  061250     00</t>
  </si>
  <si>
    <t>AN  061255     00</t>
  </si>
  <si>
    <t>AN  061257     00</t>
  </si>
  <si>
    <t>EIFFAGE ROUTE SUD OUEST</t>
  </si>
  <si>
    <t>AN  061268     00</t>
  </si>
  <si>
    <t>LES GRANDS CHAIS DE FRANCE</t>
  </si>
  <si>
    <t>AN  061270     00</t>
  </si>
  <si>
    <t>SOC HYDRO SUD OUEST</t>
  </si>
  <si>
    <t>AN  061271     00</t>
  </si>
  <si>
    <t>AN  061276     00</t>
  </si>
  <si>
    <t>SAUR CERA (SEPRA)</t>
  </si>
  <si>
    <t>AN  061292     00</t>
  </si>
  <si>
    <t>MAINTENANCE SERVICE 79</t>
  </si>
  <si>
    <t>AN  061294     00</t>
  </si>
  <si>
    <t>AN  061300     00</t>
  </si>
  <si>
    <t>AN  061304     00</t>
  </si>
  <si>
    <t>CMS SARL</t>
  </si>
  <si>
    <t>AN  061310     00</t>
  </si>
  <si>
    <t>DMDS</t>
  </si>
  <si>
    <t>AN  061336     00</t>
  </si>
  <si>
    <t>AN  061346     00</t>
  </si>
  <si>
    <t>AN  061350     00</t>
  </si>
  <si>
    <t>AN  061352     00</t>
  </si>
  <si>
    <t>AN  061353     00</t>
  </si>
  <si>
    <t>AN  061367     00</t>
  </si>
  <si>
    <t>AN  061371     00</t>
  </si>
  <si>
    <t>AN  061385     00</t>
  </si>
  <si>
    <t>AN  061394     00</t>
  </si>
  <si>
    <t>AN  061397     00</t>
  </si>
  <si>
    <t>AN  061188     00</t>
  </si>
  <si>
    <t>AN  061189     00</t>
  </si>
  <si>
    <t>AN  061198     00</t>
  </si>
  <si>
    <t>AN  061214     00</t>
  </si>
  <si>
    <t>BIO INOX</t>
  </si>
  <si>
    <t>AN  061226     00</t>
  </si>
  <si>
    <t>FROMAGERIE DE LA LEMANCE</t>
  </si>
  <si>
    <t>AN  061231     00</t>
  </si>
  <si>
    <t>AN  061232     00</t>
  </si>
  <si>
    <t>AN  061237     00</t>
  </si>
  <si>
    <t>AN  061241     00</t>
  </si>
  <si>
    <t>AN  061252     00</t>
  </si>
  <si>
    <t>ETEX FRANCE BUILDING PERFORMANCE SA</t>
  </si>
  <si>
    <t>AN  061259     00</t>
  </si>
  <si>
    <t>AN  061269     00</t>
  </si>
  <si>
    <t>BIOVILLENEUVOIS</t>
  </si>
  <si>
    <t>AN  061278     00</t>
  </si>
  <si>
    <t>AN  061279     00</t>
  </si>
  <si>
    <t>AN  061283     00</t>
  </si>
  <si>
    <t>SOTECH TECHNOLOGIES SERVICES</t>
  </si>
  <si>
    <t>AN  061284     00</t>
  </si>
  <si>
    <t>AN  061286     00</t>
  </si>
  <si>
    <t>AN  061289     00</t>
  </si>
  <si>
    <t>2EM INDUSTRIES</t>
  </si>
  <si>
    <t>AN  061296     00</t>
  </si>
  <si>
    <t>AN  061298     00</t>
  </si>
  <si>
    <t>AN  061312     00</t>
  </si>
  <si>
    <t>AN  061316     00</t>
  </si>
  <si>
    <t>LOU TRAITEUR</t>
  </si>
  <si>
    <t>AN  061321     00</t>
  </si>
  <si>
    <t>AN  061322     00</t>
  </si>
  <si>
    <t>AN  061326     00</t>
  </si>
  <si>
    <t>AN  061330     00</t>
  </si>
  <si>
    <t>AN  061335     00</t>
  </si>
  <si>
    <t>AHLSTROM ROTTERSAC SAS</t>
  </si>
  <si>
    <t>AN  061337     00</t>
  </si>
  <si>
    <t>AN  061340     00</t>
  </si>
  <si>
    <t>AN  061351     00</t>
  </si>
  <si>
    <t>AN  061356     00</t>
  </si>
  <si>
    <t>AN  061357     00</t>
  </si>
  <si>
    <t>AN  061359     00</t>
  </si>
  <si>
    <t>AN  061360     00</t>
  </si>
  <si>
    <t>AN  061370     00</t>
  </si>
  <si>
    <t>AN  061374     00</t>
  </si>
  <si>
    <t>AN  061375     00</t>
  </si>
  <si>
    <t>AN  061380     00</t>
  </si>
  <si>
    <t>AN  061381     00</t>
  </si>
  <si>
    <t>AN  061383     00</t>
  </si>
  <si>
    <t>AN  061386     00</t>
  </si>
  <si>
    <t>AN  061390     00</t>
  </si>
  <si>
    <t>AN  061395     00</t>
  </si>
  <si>
    <t>BULKIT SAS</t>
  </si>
  <si>
    <t>AN  061399     00</t>
  </si>
  <si>
    <t>AR  061025     00</t>
  </si>
  <si>
    <t>AR  061115     00</t>
  </si>
  <si>
    <t>3</t>
  </si>
  <si>
    <t>AF  061469     00</t>
  </si>
  <si>
    <t>FRUINOV</t>
  </si>
  <si>
    <t>AF  061575     00</t>
  </si>
  <si>
    <t>FULGENCE ET LAUMOND</t>
  </si>
  <si>
    <t>AN  061438     00</t>
  </si>
  <si>
    <t>AN  061442     00</t>
  </si>
  <si>
    <t>SOULAS</t>
  </si>
  <si>
    <t>AN  061454     00</t>
  </si>
  <si>
    <t>AN  061457     00</t>
  </si>
  <si>
    <t>BISCUIT INTERNATIONAL FRANCE</t>
  </si>
  <si>
    <t>AN  061459     00</t>
  </si>
  <si>
    <t>AN  061462     00</t>
  </si>
  <si>
    <t>AN  061540     00</t>
  </si>
  <si>
    <t>AN  061555     00</t>
  </si>
  <si>
    <t>AN  061559     00</t>
  </si>
  <si>
    <t>AN  061409     00</t>
  </si>
  <si>
    <t>BUISAN SARL</t>
  </si>
  <si>
    <t>AN  061437     00</t>
  </si>
  <si>
    <t>AN  061464     00</t>
  </si>
  <si>
    <t>AN  061524     00</t>
  </si>
  <si>
    <t>AN  061526     00</t>
  </si>
  <si>
    <t>AN  061536     00</t>
  </si>
  <si>
    <t>SOMEDA</t>
  </si>
  <si>
    <t>AN  061548     00</t>
  </si>
  <si>
    <t>AN  061568     00</t>
  </si>
  <si>
    <t>ROGER RENARD</t>
  </si>
  <si>
    <t>AN  061570     00</t>
  </si>
  <si>
    <t>AN  061571     00</t>
  </si>
  <si>
    <t>AN  061577     00</t>
  </si>
  <si>
    <t>AN  061616     00</t>
  </si>
  <si>
    <t>AN  061618     00</t>
  </si>
  <si>
    <t>AN  061408     00</t>
  </si>
  <si>
    <t>AN  061410     00</t>
  </si>
  <si>
    <t>AN  061411     00</t>
  </si>
  <si>
    <t>AN  061413     00</t>
  </si>
  <si>
    <t>AN  061414     00</t>
  </si>
  <si>
    <t>AN  061422     00</t>
  </si>
  <si>
    <t>AN  061423     00</t>
  </si>
  <si>
    <t>EDF-GPT AUZAT</t>
  </si>
  <si>
    <t>AN  061424     00</t>
  </si>
  <si>
    <t>AN  061427     00</t>
  </si>
  <si>
    <t>AN  061428     00</t>
  </si>
  <si>
    <t>AN  061429     00</t>
  </si>
  <si>
    <t>AN  061430     00</t>
  </si>
  <si>
    <t>AGRONUTRITION</t>
  </si>
  <si>
    <t>AN  061431     00</t>
  </si>
  <si>
    <t>AN  061435     00</t>
  </si>
  <si>
    <t>AN  061436     00</t>
  </si>
  <si>
    <t>FROMAGERIES LESCURE</t>
  </si>
  <si>
    <t>AN  061439     00</t>
  </si>
  <si>
    <t>AN  061440     00</t>
  </si>
  <si>
    <t>TARNAISE DES PANNEAUX SAS</t>
  </si>
  <si>
    <t>AN  061447     00</t>
  </si>
  <si>
    <t>AN  061449     00</t>
  </si>
  <si>
    <t>AN  061450     00</t>
  </si>
  <si>
    <t>AN  061452     00</t>
  </si>
  <si>
    <t>HOPITAL DE MONTAUBAN</t>
  </si>
  <si>
    <t>AN  061453     00</t>
  </si>
  <si>
    <t>AN  061455     00</t>
  </si>
  <si>
    <t>HYDRO BUILDING SYSTEM</t>
  </si>
  <si>
    <t>AN  061456     00</t>
  </si>
  <si>
    <t>AN  061460     00</t>
  </si>
  <si>
    <t>AN  061465     00</t>
  </si>
  <si>
    <t>AN  061470     00</t>
  </si>
  <si>
    <t>AN  061484     00</t>
  </si>
  <si>
    <t>AN  061485     00</t>
  </si>
  <si>
    <t>NONES SAS</t>
  </si>
  <si>
    <t>AN  061489     00</t>
  </si>
  <si>
    <t>COCA COLA</t>
  </si>
  <si>
    <t>AN  061490     00</t>
  </si>
  <si>
    <t>BASF</t>
  </si>
  <si>
    <t>AN  061492     00</t>
  </si>
  <si>
    <t>AN  061493     00</t>
  </si>
  <si>
    <t>AN  061494     00</t>
  </si>
  <si>
    <t>AVF</t>
  </si>
  <si>
    <t>AN  061495     00</t>
  </si>
  <si>
    <t>AN  061503     00</t>
  </si>
  <si>
    <t>AN  061504     00</t>
  </si>
  <si>
    <t>AN  061507     00</t>
  </si>
  <si>
    <t>AN  061513     00</t>
  </si>
  <si>
    <t>AN  061514     00</t>
  </si>
  <si>
    <t>AN  061517     00</t>
  </si>
  <si>
    <t>AN  061518     00</t>
  </si>
  <si>
    <t>AN  061523     00</t>
  </si>
  <si>
    <t>AN  061525     00</t>
  </si>
  <si>
    <t>AN  061527     00</t>
  </si>
  <si>
    <t>AN  061533     00</t>
  </si>
  <si>
    <t>AN  061535     00</t>
  </si>
  <si>
    <t>CHANTIER FLUVIAL DE CASTEL</t>
  </si>
  <si>
    <t>AN  061544     00</t>
  </si>
  <si>
    <t>AN  061545     00</t>
  </si>
  <si>
    <t>AN  061547     00</t>
  </si>
  <si>
    <t>AN  061552     00</t>
  </si>
  <si>
    <t>AN  061553     00</t>
  </si>
  <si>
    <t>AN  061554     00</t>
  </si>
  <si>
    <t>AN  061557     00</t>
  </si>
  <si>
    <t>AN  061565     00</t>
  </si>
  <si>
    <t>AN  061567     00</t>
  </si>
  <si>
    <t>AN  061579     00</t>
  </si>
  <si>
    <t>AN  061583     00</t>
  </si>
  <si>
    <t>AN  061585     00</t>
  </si>
  <si>
    <t>TIS</t>
  </si>
  <si>
    <t>AN  061586     00</t>
  </si>
  <si>
    <t>AN  061589     00</t>
  </si>
  <si>
    <t>AN  061592     00</t>
  </si>
  <si>
    <t>AN  061594     00</t>
  </si>
  <si>
    <t>AN  061599     00</t>
  </si>
  <si>
    <t>CRYOSUD</t>
  </si>
  <si>
    <t>AN  061605     00</t>
  </si>
  <si>
    <t>BOYER SAS</t>
  </si>
  <si>
    <t>AN  061607     00</t>
  </si>
  <si>
    <t>AN  061610     00</t>
  </si>
  <si>
    <t>AR  061010     00</t>
  </si>
  <si>
    <t>METAL TECHNIC</t>
  </si>
  <si>
    <t>AS  061417     00</t>
  </si>
  <si>
    <t>AS  061418     00</t>
  </si>
  <si>
    <t>AS  061419     00</t>
  </si>
  <si>
    <t>AS  061426     00</t>
  </si>
  <si>
    <t>PRODIAL ( RAGT )</t>
  </si>
  <si>
    <t>AN  061458     00</t>
  </si>
  <si>
    <t>AN  061473     00</t>
  </si>
  <si>
    <t>HOPITAL DE VILLEFRANCHE</t>
  </si>
  <si>
    <t>AN  061478     00</t>
  </si>
  <si>
    <t>AN  061487     00</t>
  </si>
  <si>
    <t>AN  061542     00</t>
  </si>
  <si>
    <t>AN  060856     00</t>
  </si>
  <si>
    <t>AN  061403     00</t>
  </si>
  <si>
    <t>CMS HYDRO ( EX SEUT )</t>
  </si>
  <si>
    <t>AN  061444     00</t>
  </si>
  <si>
    <t>AN  061448     00</t>
  </si>
  <si>
    <t>AN  061474     00</t>
  </si>
  <si>
    <t>AN  061476     00</t>
  </si>
  <si>
    <t>AN  061480     00</t>
  </si>
  <si>
    <t>AN  061481     00</t>
  </si>
  <si>
    <t>AN  061488     00</t>
  </si>
  <si>
    <t>FROMAGERIES DES CHAUMES</t>
  </si>
  <si>
    <t>AN  061491     00</t>
  </si>
  <si>
    <t>AN  061496     00</t>
  </si>
  <si>
    <t>AN  061497     00</t>
  </si>
  <si>
    <t>AN  061498     00</t>
  </si>
  <si>
    <t>AN  061501     00</t>
  </si>
  <si>
    <t>AN  061502     00</t>
  </si>
  <si>
    <t>AN  061505     00</t>
  </si>
  <si>
    <t>AN  061510     00</t>
  </si>
  <si>
    <t>AN  061512     00</t>
  </si>
  <si>
    <t>BIOGASCONHA SAS ***</t>
  </si>
  <si>
    <t>AN  061516     00</t>
  </si>
  <si>
    <t>SMI SUD MAINT.INDUS.</t>
  </si>
  <si>
    <t>AN  061534     00</t>
  </si>
  <si>
    <t>AN  061546     00</t>
  </si>
  <si>
    <t>ENNOLYS (EX SAFISIS)</t>
  </si>
  <si>
    <t>AN  061549     00</t>
  </si>
  <si>
    <t>EMAC S.A</t>
  </si>
  <si>
    <t>AN  061550     00</t>
  </si>
  <si>
    <t>AN  061551     00</t>
  </si>
  <si>
    <t>AN  061558     00</t>
  </si>
  <si>
    <t>AN  061561     00</t>
  </si>
  <si>
    <t>AN  061566     00</t>
  </si>
  <si>
    <t>AN  061581     00</t>
  </si>
  <si>
    <t>AN  061591     00</t>
  </si>
  <si>
    <t>AN  061596     00</t>
  </si>
  <si>
    <t>AN  061597     00</t>
  </si>
  <si>
    <t>EUROVIA LSO</t>
  </si>
  <si>
    <t>AN  061614     00</t>
  </si>
  <si>
    <t>EUROVIA ENROBES CENTRE AQUITAINE</t>
  </si>
  <si>
    <t>AN  061615     00</t>
  </si>
  <si>
    <t>AN  061619     00</t>
  </si>
  <si>
    <t>AN  061620     00</t>
  </si>
  <si>
    <t>AN  061622     00</t>
  </si>
  <si>
    <t>AR  061089     00</t>
  </si>
  <si>
    <t>AR  061519     00</t>
  </si>
  <si>
    <t>AR  061613     00</t>
  </si>
  <si>
    <t>AN  061405     00</t>
  </si>
  <si>
    <t>AN  061407     00</t>
  </si>
  <si>
    <t>AN  061420     00</t>
  </si>
  <si>
    <t>AN  061432     00</t>
  </si>
  <si>
    <t>AT'OME</t>
  </si>
  <si>
    <t>AN  061441     00</t>
  </si>
  <si>
    <t>AN  061445     00</t>
  </si>
  <si>
    <t>LESIEUR</t>
  </si>
  <si>
    <t>AN  061446     00</t>
  </si>
  <si>
    <t>AN  061463     00</t>
  </si>
  <si>
    <t>SMEC</t>
  </si>
  <si>
    <t>AN  061467     00</t>
  </si>
  <si>
    <t>AN  061472     00</t>
  </si>
  <si>
    <t>AN  061479     00</t>
  </si>
  <si>
    <t>AN  061500     00</t>
  </si>
  <si>
    <t>DELIDESS</t>
  </si>
  <si>
    <t>AN  061508     00</t>
  </si>
  <si>
    <t>AN  061509     00</t>
  </si>
  <si>
    <t>AN  061520     00</t>
  </si>
  <si>
    <t>MAXTOM FRANCE (ADSM)</t>
  </si>
  <si>
    <t>AN  061538     00</t>
  </si>
  <si>
    <t>AN  061543     00</t>
  </si>
  <si>
    <t>AN  061563     00</t>
  </si>
  <si>
    <t>AN  061569     00</t>
  </si>
  <si>
    <t>SEFI LA ROCHELLE</t>
  </si>
  <si>
    <t>AN  061572     00</t>
  </si>
  <si>
    <t>AN  061573     00</t>
  </si>
  <si>
    <t>AN  061593     00</t>
  </si>
  <si>
    <t>AN  061603     00</t>
  </si>
  <si>
    <t>AN  061604     00</t>
  </si>
  <si>
    <t>MERIBEL PHARMA (EX RÉCIPHARM)</t>
  </si>
  <si>
    <t>AN  061608     00</t>
  </si>
  <si>
    <t>AR  061354     00</t>
  </si>
  <si>
    <t>ICR</t>
  </si>
  <si>
    <t>AN  061412     00</t>
  </si>
  <si>
    <t>GACHES CHIMIE (77)</t>
  </si>
  <si>
    <t>AN  061404     00</t>
  </si>
  <si>
    <t>AN  061406     00</t>
  </si>
  <si>
    <t>AN  061421     00</t>
  </si>
  <si>
    <t>AN  061443     00</t>
  </si>
  <si>
    <t>AN  061466     00</t>
  </si>
  <si>
    <t>AN  061471     00</t>
  </si>
  <si>
    <t>LA POSTE PHILAPOSTE</t>
  </si>
  <si>
    <t>AN  061475     00</t>
  </si>
  <si>
    <t>AN  061477     00</t>
  </si>
  <si>
    <t>VALETTE</t>
  </si>
  <si>
    <t>AN  061482     00</t>
  </si>
  <si>
    <t>DANONE 46</t>
  </si>
  <si>
    <t>AN  061483     00</t>
  </si>
  <si>
    <t>AN  061486     00</t>
  </si>
  <si>
    <t>AN  061506     00</t>
  </si>
  <si>
    <t>MAISON BRIAU</t>
  </si>
  <si>
    <t>AN  061511     00</t>
  </si>
  <si>
    <t>COLAS SUD OUEST ATELIER ST ASTIER</t>
  </si>
  <si>
    <t>AN  061515     00</t>
  </si>
  <si>
    <t>AN  061522     00</t>
  </si>
  <si>
    <t>AN  061528     00</t>
  </si>
  <si>
    <t>AN  061530     00</t>
  </si>
  <si>
    <t>AN  061531     00</t>
  </si>
  <si>
    <t>AN  061537     00</t>
  </si>
  <si>
    <t>AN  061539     00</t>
  </si>
  <si>
    <t>AN  061541     00</t>
  </si>
  <si>
    <t>AN  061556     00</t>
  </si>
  <si>
    <t>LE CHEF</t>
  </si>
  <si>
    <t>AN  061560     00</t>
  </si>
  <si>
    <t>AN  061562     00</t>
  </si>
  <si>
    <t>AN  061564     00</t>
  </si>
  <si>
    <t>AN  061578     00</t>
  </si>
  <si>
    <t>AN  061580     00</t>
  </si>
  <si>
    <t>AN  061587     00</t>
  </si>
  <si>
    <t>PIVAUDRAN.G ETS</t>
  </si>
  <si>
    <t>AN  061588     00</t>
  </si>
  <si>
    <t>AN  061590     00</t>
  </si>
  <si>
    <t>AN  061595     00</t>
  </si>
  <si>
    <t>AN  061601     00</t>
  </si>
  <si>
    <t>UNIDOR</t>
  </si>
  <si>
    <t>AN  061602     00</t>
  </si>
  <si>
    <t>AN  061609     00</t>
  </si>
  <si>
    <t>PICANDINE S.A.**</t>
  </si>
  <si>
    <t>AN  061617     00</t>
  </si>
  <si>
    <t>AR  061204     00</t>
  </si>
  <si>
    <t>4</t>
  </si>
  <si>
    <t>AN  061650     00</t>
  </si>
  <si>
    <t>AN  061655     00</t>
  </si>
  <si>
    <t>AN  061662     00</t>
  </si>
  <si>
    <t>AN  061680     00</t>
  </si>
  <si>
    <t>AN  061687     00</t>
  </si>
  <si>
    <t>AN  061694     00</t>
  </si>
  <si>
    <t>AN  061725     00</t>
  </si>
  <si>
    <t>AN  061745     00</t>
  </si>
  <si>
    <t>AN  061784     00</t>
  </si>
  <si>
    <t>AF  061667     00</t>
  </si>
  <si>
    <t>AF  061668     00</t>
  </si>
  <si>
    <t>AF  061669     00</t>
  </si>
  <si>
    <t>AN  061772     00</t>
  </si>
  <si>
    <t>TOTAL ENERGIES BIOGAZ FRANCE</t>
  </si>
  <si>
    <t>AN  061793     00</t>
  </si>
  <si>
    <t>AR  059589     00</t>
  </si>
  <si>
    <t>EUROFOIL FRANCE SAS</t>
  </si>
  <si>
    <t>AR  061499     00</t>
  </si>
  <si>
    <t>AN  061582     00</t>
  </si>
  <si>
    <t>AN  061649     00</t>
  </si>
  <si>
    <t>FORMICA S.A</t>
  </si>
  <si>
    <t>AN  061651     00</t>
  </si>
  <si>
    <t>AN  061656     00</t>
  </si>
  <si>
    <t>AN  061664     00</t>
  </si>
  <si>
    <t>AN  061671     00</t>
  </si>
  <si>
    <t>AN  061683     00</t>
  </si>
  <si>
    <t>AN  061700     00</t>
  </si>
  <si>
    <t>AN  061708     00</t>
  </si>
  <si>
    <t>AN  061727     00</t>
  </si>
  <si>
    <t>AN  061758     00</t>
  </si>
  <si>
    <t>DYNEFF SAS</t>
  </si>
  <si>
    <t>AN  061768     00</t>
  </si>
  <si>
    <t>AN  061782     00</t>
  </si>
  <si>
    <t>AN  061786     00</t>
  </si>
  <si>
    <t>OMNIA TECHNOLOGIES FRANCE</t>
  </si>
  <si>
    <t>AN  061797     00</t>
  </si>
  <si>
    <t>ETABLISSEMENTS CLAUDE</t>
  </si>
  <si>
    <t>AF  061628     00</t>
  </si>
  <si>
    <t>AF  061722     00</t>
  </si>
  <si>
    <t>AN  061069     00</t>
  </si>
  <si>
    <t>AN  061521     00</t>
  </si>
  <si>
    <t>OSAGRA (CARRIÈRE)</t>
  </si>
  <si>
    <t>AN  061624     00</t>
  </si>
  <si>
    <t>AN  061627     00</t>
  </si>
  <si>
    <t>AN  061642     00</t>
  </si>
  <si>
    <t>AN  061643     00</t>
  </si>
  <si>
    <t>AN  061652     00</t>
  </si>
  <si>
    <t>AN  061653     00</t>
  </si>
  <si>
    <t>AN  061654     00</t>
  </si>
  <si>
    <t>AN  061660     00</t>
  </si>
  <si>
    <t>AN  061666     00</t>
  </si>
  <si>
    <t>AN  061675     00</t>
  </si>
  <si>
    <t>AN  061677     00</t>
  </si>
  <si>
    <t>BISCUIT INTERNATIONAL (POULT)</t>
  </si>
  <si>
    <t>AN  061679     00</t>
  </si>
  <si>
    <t>AN  061686     00</t>
  </si>
  <si>
    <t>LIEBHERR-AEROSPACE COATINGS</t>
  </si>
  <si>
    <t>AN  061689     00</t>
  </si>
  <si>
    <t>SEPPIC</t>
  </si>
  <si>
    <t>AN  061692     00</t>
  </si>
  <si>
    <t>AN  061696     00</t>
  </si>
  <si>
    <t>AN  061701     00</t>
  </si>
  <si>
    <t>AN  061703     00</t>
  </si>
  <si>
    <t>AN  061705     00</t>
  </si>
  <si>
    <t>AN  061707     00</t>
  </si>
  <si>
    <t>AN  061719     00</t>
  </si>
  <si>
    <t>AN  061721     00</t>
  </si>
  <si>
    <t>AN  061726     00</t>
  </si>
  <si>
    <t>AN  061732     00</t>
  </si>
  <si>
    <t>AN  061737     00</t>
  </si>
  <si>
    <t>AN  061738     00</t>
  </si>
  <si>
    <t>AN  061739     00</t>
  </si>
  <si>
    <t>AN  061741     00</t>
  </si>
  <si>
    <t>POUJOL SARL</t>
  </si>
  <si>
    <t>AN  061743     00</t>
  </si>
  <si>
    <t>AN  061746     00</t>
  </si>
  <si>
    <t>AN  061754     00</t>
  </si>
  <si>
    <t>LAFARGE CIMENTS 31</t>
  </si>
  <si>
    <t>AN  061760     00</t>
  </si>
  <si>
    <t>AN  061765     00</t>
  </si>
  <si>
    <t>AN  061767     00</t>
  </si>
  <si>
    <t>AN  061769     00</t>
  </si>
  <si>
    <t>AN  061770     00</t>
  </si>
  <si>
    <t>EAU DE TOULOUSE METROPOLE ( SETOM)</t>
  </si>
  <si>
    <t>AN  061776     00</t>
  </si>
  <si>
    <t>AN  061781     00</t>
  </si>
  <si>
    <t>AN  061787     00</t>
  </si>
  <si>
    <t>PLO HENRI SA</t>
  </si>
  <si>
    <t>AN  061788     00</t>
  </si>
  <si>
    <t>AN  061789     00</t>
  </si>
  <si>
    <t>AN  061790     00</t>
  </si>
  <si>
    <t>AN  061794     00</t>
  </si>
  <si>
    <t>AN  061795     00</t>
  </si>
  <si>
    <t>AN  061796     00</t>
  </si>
  <si>
    <t>AN  061798     00</t>
  </si>
  <si>
    <t>AN  061799     00</t>
  </si>
  <si>
    <t>AR  061451     00</t>
  </si>
  <si>
    <t>AN  061621     00</t>
  </si>
  <si>
    <t>CANDIA SODIAAL</t>
  </si>
  <si>
    <t>AN  061638     00</t>
  </si>
  <si>
    <t>AN  061646     00</t>
  </si>
  <si>
    <t>AI2P (ACAPLAST)</t>
  </si>
  <si>
    <t>AN  061647     00</t>
  </si>
  <si>
    <t>AN  061658     00</t>
  </si>
  <si>
    <t>AN  061659     00</t>
  </si>
  <si>
    <t>AN  061661     00</t>
  </si>
  <si>
    <t>SYDEC 40 THALIE</t>
  </si>
  <si>
    <t>AN  061663     00</t>
  </si>
  <si>
    <t>AN  061665     00</t>
  </si>
  <si>
    <t>AN  061672     00</t>
  </si>
  <si>
    <t>GACHES CHIMIE SAS (64)</t>
  </si>
  <si>
    <t>AN  061673     00</t>
  </si>
  <si>
    <t>ALTEMIR SARL</t>
  </si>
  <si>
    <t>AN  061682     00</t>
  </si>
  <si>
    <t>AN  061684     00</t>
  </si>
  <si>
    <t>AN  061688     00</t>
  </si>
  <si>
    <t>AN  061690     00</t>
  </si>
  <si>
    <t>AN  061699     00</t>
  </si>
  <si>
    <t>AN  061712     00</t>
  </si>
  <si>
    <t>AN  061714     00</t>
  </si>
  <si>
    <t>MLPC INTERNATIONAL</t>
  </si>
  <si>
    <t>AN  061720     00</t>
  </si>
  <si>
    <t>AN  061731     00</t>
  </si>
  <si>
    <t>AN  061735     00</t>
  </si>
  <si>
    <t>AN  061736     00</t>
  </si>
  <si>
    <t>SERDEX (GROUPE SEPPIC)</t>
  </si>
  <si>
    <t>AN  061750     00</t>
  </si>
  <si>
    <t>AN  061752     00</t>
  </si>
  <si>
    <t>AN  061753     00</t>
  </si>
  <si>
    <t>ARKEMA FRANCE MONT</t>
  </si>
  <si>
    <t>AN  061759     00</t>
  </si>
  <si>
    <t>AN  061762     00</t>
  </si>
  <si>
    <t>AN  061774     00</t>
  </si>
  <si>
    <t>AN  061777     00</t>
  </si>
  <si>
    <t>AN  061783     00</t>
  </si>
  <si>
    <t>AN  061785     00</t>
  </si>
  <si>
    <t>AR  061529     00</t>
  </si>
  <si>
    <t>AR  061532     00</t>
  </si>
  <si>
    <t>AR  061637     00</t>
  </si>
  <si>
    <t>AR  061766     00</t>
  </si>
  <si>
    <t>AN  061623     00</t>
  </si>
  <si>
    <t>AN  061625     00</t>
  </si>
  <si>
    <t>AN  061631     00</t>
  </si>
  <si>
    <t>AN  061632     00</t>
  </si>
  <si>
    <t>AN  061644     00</t>
  </si>
  <si>
    <t>AN  061645     00</t>
  </si>
  <si>
    <t>AN  061674     00</t>
  </si>
  <si>
    <t>AN  061706     00</t>
  </si>
  <si>
    <t>AN  061710     00</t>
  </si>
  <si>
    <t>CILAS</t>
  </si>
  <si>
    <t>AN  061713     00</t>
  </si>
  <si>
    <t>AN  061718     00</t>
  </si>
  <si>
    <t>AN  061724     00</t>
  </si>
  <si>
    <t>AN  061729     00</t>
  </si>
  <si>
    <t>AN  061734     00</t>
  </si>
  <si>
    <t>AN  061740     00</t>
  </si>
  <si>
    <t>FORESA</t>
  </si>
  <si>
    <t>AN  061742     00</t>
  </si>
  <si>
    <t>AN  061747     00</t>
  </si>
  <si>
    <t>NIDEC (MOTEUR LEROY SOMER)</t>
  </si>
  <si>
    <t>AN  061748     00</t>
  </si>
  <si>
    <t>AN  061771     00</t>
  </si>
  <si>
    <t>AN  061778     00</t>
  </si>
  <si>
    <t>AN  061779     00</t>
  </si>
  <si>
    <t>AN  061792     00</t>
  </si>
  <si>
    <t>ARIANE GROUP SAS</t>
  </si>
  <si>
    <t>AR  061678     00</t>
  </si>
  <si>
    <t>JOCK</t>
  </si>
  <si>
    <t>POUFFIER 06.17.02.59.09</t>
  </si>
  <si>
    <t>AN  061639     00</t>
  </si>
  <si>
    <t>AN  061728     00</t>
  </si>
  <si>
    <t>ALV 061711     00</t>
  </si>
  <si>
    <t>AN  061626     00</t>
  </si>
  <si>
    <t>AN  061629     00</t>
  </si>
  <si>
    <t>AN  061630     00</t>
  </si>
  <si>
    <t>AN  061633     00</t>
  </si>
  <si>
    <t>LOU GASCOUN</t>
  </si>
  <si>
    <t>AN  061634     00</t>
  </si>
  <si>
    <t>AN  061635     00</t>
  </si>
  <si>
    <t>AN  061640     00</t>
  </si>
  <si>
    <t>AN  061641     00</t>
  </si>
  <si>
    <t>AN  061648     00</t>
  </si>
  <si>
    <t>MAEC</t>
  </si>
  <si>
    <t>AN  061657     00</t>
  </si>
  <si>
    <t>AN  061676     00</t>
  </si>
  <si>
    <t>AN  061681     00</t>
  </si>
  <si>
    <t>D'AUCY FRANCE ETS CASTELMORON</t>
  </si>
  <si>
    <t>AN  061691     00</t>
  </si>
  <si>
    <t>AN  061693     00</t>
  </si>
  <si>
    <t>AN  061695     00</t>
  </si>
  <si>
    <t>AN  061698     00</t>
  </si>
  <si>
    <t>AN  061702     00</t>
  </si>
  <si>
    <t>LP</t>
  </si>
  <si>
    <t>AN  061709     00</t>
  </si>
  <si>
    <t>LEXEM</t>
  </si>
  <si>
    <t>AN  061715     00</t>
  </si>
  <si>
    <t>AN  061716     00</t>
  </si>
  <si>
    <t>AN  061717     00</t>
  </si>
  <si>
    <t>AN  061723     00</t>
  </si>
  <si>
    <t>AN  061733     00</t>
  </si>
  <si>
    <t>AN  061744     00</t>
  </si>
  <si>
    <t>AN  061749     00</t>
  </si>
  <si>
    <t>EDF USINE LAVAL DE CERE</t>
  </si>
  <si>
    <t>AN  061751     00</t>
  </si>
  <si>
    <t>AN  061756     00</t>
  </si>
  <si>
    <t>AN  061757     00</t>
  </si>
  <si>
    <t>AN  061761     00</t>
  </si>
  <si>
    <t>AN  061763     00</t>
  </si>
  <si>
    <t>AN  061764     00</t>
  </si>
  <si>
    <t>AN  061773     00</t>
  </si>
  <si>
    <t>AR  061611     00</t>
  </si>
  <si>
    <t>5</t>
  </si>
  <si>
    <t>AF  061927     00</t>
  </si>
  <si>
    <t>AN  061808     00</t>
  </si>
  <si>
    <t>SOHAM SUD OUEST SAS</t>
  </si>
  <si>
    <t>AN  061820     00</t>
  </si>
  <si>
    <t>AN  061846     00</t>
  </si>
  <si>
    <t>AN  061871     00</t>
  </si>
  <si>
    <t>AN  061876     00</t>
  </si>
  <si>
    <t>AN  061878     00</t>
  </si>
  <si>
    <t>KALHYGE 24</t>
  </si>
  <si>
    <t>AN  061892     00</t>
  </si>
  <si>
    <t>AF  061831     00</t>
  </si>
  <si>
    <t>AF  061917     00</t>
  </si>
  <si>
    <t>AN  061894     00</t>
  </si>
  <si>
    <t>AN  061956     00</t>
  </si>
  <si>
    <t>AN  061812     00</t>
  </si>
  <si>
    <t>AN  061824     00</t>
  </si>
  <si>
    <t>AN  061853     00</t>
  </si>
  <si>
    <t>AN  061883     00</t>
  </si>
  <si>
    <t>AN  061896     00</t>
  </si>
  <si>
    <t>AN  061920     00</t>
  </si>
  <si>
    <t>AN  061924     00</t>
  </si>
  <si>
    <t>AN  061802     00</t>
  </si>
  <si>
    <t>AN  061805     00</t>
  </si>
  <si>
    <t>KING TREE</t>
  </si>
  <si>
    <t>AN  061814     00</t>
  </si>
  <si>
    <t>AN  061816     00</t>
  </si>
  <si>
    <t>AN  061817     00</t>
  </si>
  <si>
    <t>AN  061821     00</t>
  </si>
  <si>
    <t>AN  061822     00</t>
  </si>
  <si>
    <t>AN  061823     00</t>
  </si>
  <si>
    <t>AN  061825     00</t>
  </si>
  <si>
    <t>AN  061826     00</t>
  </si>
  <si>
    <t>AN  061827     00</t>
  </si>
  <si>
    <t>AN  061829     00</t>
  </si>
  <si>
    <t>AN  061830     00</t>
  </si>
  <si>
    <t>AN  061835     00</t>
  </si>
  <si>
    <t>AN  061839     00</t>
  </si>
  <si>
    <t>AN  061849     00</t>
  </si>
  <si>
    <t>AN  061858     00</t>
  </si>
  <si>
    <t>AN  061861     00</t>
  </si>
  <si>
    <t>AN  061862     00</t>
  </si>
  <si>
    <t>AN  061864     00</t>
  </si>
  <si>
    <t>AN  061866     00</t>
  </si>
  <si>
    <t>AN  061868     00</t>
  </si>
  <si>
    <t>AN  061880     00</t>
  </si>
  <si>
    <t>SOLVENTUM PURIFICATION (EX 3M)</t>
  </si>
  <si>
    <t>AN  061887     00</t>
  </si>
  <si>
    <t>DMS SAS</t>
  </si>
  <si>
    <t>AN  061888     00</t>
  </si>
  <si>
    <t>PARFUMS BERDOUES</t>
  </si>
  <si>
    <t>AN  061889     00</t>
  </si>
  <si>
    <t>COMMUNAUTE DE COMMUNES QRGA</t>
  </si>
  <si>
    <t>AN  061890     00</t>
  </si>
  <si>
    <t>AN  061899     00</t>
  </si>
  <si>
    <t>AN  061902     00</t>
  </si>
  <si>
    <t>AN  061906     00</t>
  </si>
  <si>
    <t>AN  061907     00</t>
  </si>
  <si>
    <t>EVONEO SUEZ (EX ECONOTRE)</t>
  </si>
  <si>
    <t>AN  061913     00</t>
  </si>
  <si>
    <t>AN  061915     00</t>
  </si>
  <si>
    <t>AN  061928     00</t>
  </si>
  <si>
    <t>AN  061931     00</t>
  </si>
  <si>
    <t>AN  061933     00</t>
  </si>
  <si>
    <t>AN  061934     00</t>
  </si>
  <si>
    <t>AN  061935     00</t>
  </si>
  <si>
    <t>AN  061940     00</t>
  </si>
  <si>
    <t>AN  061942     00</t>
  </si>
  <si>
    <t>AN  061944     00</t>
  </si>
  <si>
    <t>FPIA</t>
  </si>
  <si>
    <t>AN  061953     00</t>
  </si>
  <si>
    <t>AN  061955     00</t>
  </si>
  <si>
    <t>SATYS SURFACE TREATMENT TOULOUSE</t>
  </si>
  <si>
    <t>AR  061863     00</t>
  </si>
  <si>
    <t>A relancer</t>
  </si>
  <si>
    <t>AR  061918     00</t>
  </si>
  <si>
    <t>INVIVOGEN SAS</t>
  </si>
  <si>
    <t>AS  061886     00</t>
  </si>
  <si>
    <t>AN  061800     00</t>
  </si>
  <si>
    <t>AN  061804     00</t>
  </si>
  <si>
    <t>LABEYRIE 64</t>
  </si>
  <si>
    <t>AN  061809     00</t>
  </si>
  <si>
    <t>AN  061818     00</t>
  </si>
  <si>
    <t>AN  061832     00</t>
  </si>
  <si>
    <t>PMTL</t>
  </si>
  <si>
    <t>AN  061833     00</t>
  </si>
  <si>
    <t>AN  061834     00</t>
  </si>
  <si>
    <t>AN  061840     00</t>
  </si>
  <si>
    <t>AN  061843     00</t>
  </si>
  <si>
    <t>BIOLANDES TECHNOLOGIES</t>
  </si>
  <si>
    <t>AN  061845     00</t>
  </si>
  <si>
    <t>BPC KAMBIO</t>
  </si>
  <si>
    <t>AN  061848     00</t>
  </si>
  <si>
    <t>AN  061852     00</t>
  </si>
  <si>
    <t>AN  061856     00</t>
  </si>
  <si>
    <t>AN  061872     00</t>
  </si>
  <si>
    <t>LABORATOIRE RENAUDIN</t>
  </si>
  <si>
    <t>AN  061873     00</t>
  </si>
  <si>
    <t>AN  061879     00</t>
  </si>
  <si>
    <t>AN  061882     00</t>
  </si>
  <si>
    <t>AN  061884     00</t>
  </si>
  <si>
    <t>AN  061895     00</t>
  </si>
  <si>
    <t>AN  061897     00</t>
  </si>
  <si>
    <t>AN  061905     00</t>
  </si>
  <si>
    <t>ARKEMA FRANCE GRL</t>
  </si>
  <si>
    <t>AN  061912     00</t>
  </si>
  <si>
    <t>AN  061925     00</t>
  </si>
  <si>
    <t>AN  061926     00</t>
  </si>
  <si>
    <t>AN  061929     00</t>
  </si>
  <si>
    <t>AN  061930     00</t>
  </si>
  <si>
    <t>DELPEYRAT 40</t>
  </si>
  <si>
    <t>AN  061943     00</t>
  </si>
  <si>
    <t>AN  061946     00</t>
  </si>
  <si>
    <t>VIROULAUD  06.70.09.32.38</t>
  </si>
  <si>
    <t>AN  056647     00</t>
  </si>
  <si>
    <t>W PLATFORM</t>
  </si>
  <si>
    <t>AN  061801     00</t>
  </si>
  <si>
    <t>LRI BORDEAUX</t>
  </si>
  <si>
    <t>AN  061807     00</t>
  </si>
  <si>
    <t>AN  061813     00</t>
  </si>
  <si>
    <t>AN  061815     00</t>
  </si>
  <si>
    <t>AN  061844     00</t>
  </si>
  <si>
    <t>AN  061847     00</t>
  </si>
  <si>
    <t>AN  061851     00</t>
  </si>
  <si>
    <t>AN  061859     00</t>
  </si>
  <si>
    <t>AN  061860     00</t>
  </si>
  <si>
    <t>AN  061867     00</t>
  </si>
  <si>
    <t>AN  061870     00</t>
  </si>
  <si>
    <t>AN  061891     00</t>
  </si>
  <si>
    <t>AN  061893     00</t>
  </si>
  <si>
    <t>AN  061898     00</t>
  </si>
  <si>
    <t>AN  061900     00</t>
  </si>
  <si>
    <t>AN  061903     00</t>
  </si>
  <si>
    <t>LE PETIT BASQUE</t>
  </si>
  <si>
    <t>AN  061916     00</t>
  </si>
  <si>
    <t>AN  061921     00</t>
  </si>
  <si>
    <t>AN  061922     00</t>
  </si>
  <si>
    <t>AN  061937     00</t>
  </si>
  <si>
    <t>AN  061938     00</t>
  </si>
  <si>
    <t>AN  061941     00</t>
  </si>
  <si>
    <t>AIA DE BORDEAUX **</t>
  </si>
  <si>
    <t>AN  061951     00</t>
  </si>
  <si>
    <t>AN  061954     00</t>
  </si>
  <si>
    <t>AN  061957     00</t>
  </si>
  <si>
    <t>AF  061950     00</t>
  </si>
  <si>
    <t>AN  061803     00</t>
  </si>
  <si>
    <t>AN  061806     00</t>
  </si>
  <si>
    <t>AN  061810     00</t>
  </si>
  <si>
    <t>VEGECROC</t>
  </si>
  <si>
    <t>AN  061819     00</t>
  </si>
  <si>
    <t>AN  061828     00</t>
  </si>
  <si>
    <t>COUFIDOU SAS</t>
  </si>
  <si>
    <t>AN  061836     00</t>
  </si>
  <si>
    <t>AN  061838     00</t>
  </si>
  <si>
    <t>AN  061841     00</t>
  </si>
  <si>
    <t>AN  061842     00</t>
  </si>
  <si>
    <t>AN  061854     00</t>
  </si>
  <si>
    <t>AN  061874     00</t>
  </si>
  <si>
    <t>AN  061875     00</t>
  </si>
  <si>
    <t>AN  061877     00</t>
  </si>
  <si>
    <t>NATURGIE FAVOLS</t>
  </si>
  <si>
    <t>AN  061885     00</t>
  </si>
  <si>
    <t>AN  061901     00</t>
  </si>
  <si>
    <t>AN  061904     00</t>
  </si>
  <si>
    <t>SMD3</t>
  </si>
  <si>
    <t>AN  061909     00</t>
  </si>
  <si>
    <t>AN  061910     00</t>
  </si>
  <si>
    <t>AN  061911     00</t>
  </si>
  <si>
    <t>AN  061914     00</t>
  </si>
  <si>
    <t>AN  061923     00</t>
  </si>
  <si>
    <t>AN  061932     00</t>
  </si>
  <si>
    <t>AN  061939     00</t>
  </si>
  <si>
    <t>AN  061949     00</t>
  </si>
  <si>
    <t>AN  061952     00</t>
  </si>
  <si>
    <t>6</t>
  </si>
  <si>
    <t>AN  062038     00</t>
  </si>
  <si>
    <t>AN  062046     00</t>
  </si>
  <si>
    <t>AF  061993     00</t>
  </si>
  <si>
    <t>ERIDIS</t>
  </si>
  <si>
    <t>AF  062091     00</t>
  </si>
  <si>
    <t>AF  062132     00</t>
  </si>
  <si>
    <t>AN  062089     00</t>
  </si>
  <si>
    <t>AN  062116     00</t>
  </si>
  <si>
    <t>MONTEIRO</t>
  </si>
  <si>
    <t>AN  061998     00</t>
  </si>
  <si>
    <t>AN  061999     00</t>
  </si>
  <si>
    <t>CIR BEZIERS</t>
  </si>
  <si>
    <t>AN  062024     00</t>
  </si>
  <si>
    <t>AN  062030     00</t>
  </si>
  <si>
    <t>AN  062031     00</t>
  </si>
  <si>
    <t>AN  062033     00</t>
  </si>
  <si>
    <t>AN  062082     00</t>
  </si>
  <si>
    <t>AN  062083     00</t>
  </si>
  <si>
    <t>AN  062109     00</t>
  </si>
  <si>
    <t>AN  062113     00</t>
  </si>
  <si>
    <t>CIR PERPIGNAN</t>
  </si>
  <si>
    <t>AN  062123     00</t>
  </si>
  <si>
    <t>AN  062130     00</t>
  </si>
  <si>
    <t>AI  061979     00</t>
  </si>
  <si>
    <t>FRV</t>
  </si>
  <si>
    <t>AN  061963     00</t>
  </si>
  <si>
    <t>AN  061966     00</t>
  </si>
  <si>
    <t>AN  061967     00</t>
  </si>
  <si>
    <t>AN  061970     00</t>
  </si>
  <si>
    <t>AN  061971     00</t>
  </si>
  <si>
    <t>BUTAGAZ SAS ****</t>
  </si>
  <si>
    <t>AN  061972     00</t>
  </si>
  <si>
    <t>AN  061973     00</t>
  </si>
  <si>
    <t>AN  061974     00</t>
  </si>
  <si>
    <t>AN  061975     00</t>
  </si>
  <si>
    <t>EVONEO SUEZ (EX SETMI)</t>
  </si>
  <si>
    <t>AN  061976     00</t>
  </si>
  <si>
    <t>AN  061978     00</t>
  </si>
  <si>
    <t>AN  061981     00</t>
  </si>
  <si>
    <t>AN  061984     00</t>
  </si>
  <si>
    <t>AN  061994     00</t>
  </si>
  <si>
    <t>AN  061996     00</t>
  </si>
  <si>
    <t>AN  061997     00</t>
  </si>
  <si>
    <t>AN  062001     00</t>
  </si>
  <si>
    <t>NUTRITION ET SANTÉ</t>
  </si>
  <si>
    <t>AN  062003     00</t>
  </si>
  <si>
    <t>AN  062006     00</t>
  </si>
  <si>
    <t>AN  062008     00</t>
  </si>
  <si>
    <t>AN  062020     00</t>
  </si>
  <si>
    <t>BORCHERS SAS ***</t>
  </si>
  <si>
    <t>AN  062041     00</t>
  </si>
  <si>
    <t>AN  062043     00</t>
  </si>
  <si>
    <t>AN  062048     00</t>
  </si>
  <si>
    <t>SIRVEN</t>
  </si>
  <si>
    <t>AN  062055     00</t>
  </si>
  <si>
    <t>AN  062057     00</t>
  </si>
  <si>
    <t>AN  062068     00</t>
  </si>
  <si>
    <t>AN  062070     00</t>
  </si>
  <si>
    <t>AN  062077     00</t>
  </si>
  <si>
    <t>AN  062079     00</t>
  </si>
  <si>
    <t>AN  062092     00</t>
  </si>
  <si>
    <t>AN  062094     00</t>
  </si>
  <si>
    <t>AN  062096     00</t>
  </si>
  <si>
    <t>AN  062097     00</t>
  </si>
  <si>
    <t>AN  062099     00</t>
  </si>
  <si>
    <t>AN  062105     00</t>
  </si>
  <si>
    <t>AN  062107     00</t>
  </si>
  <si>
    <t>AN  062108     00</t>
  </si>
  <si>
    <t>AN  062114     00</t>
  </si>
  <si>
    <t>AN  062118     00</t>
  </si>
  <si>
    <t>AN  062126     00</t>
  </si>
  <si>
    <t>AN  062127     00</t>
  </si>
  <si>
    <t>AN  062129     00</t>
  </si>
  <si>
    <t>AN  062138     00</t>
  </si>
  <si>
    <t>AN  062139     00</t>
  </si>
  <si>
    <t>AN  062141     00</t>
  </si>
  <si>
    <t>AN  062149     00</t>
  </si>
  <si>
    <t>AN  062150     00</t>
  </si>
  <si>
    <t>AN  062151     00</t>
  </si>
  <si>
    <t>AN  062152     00</t>
  </si>
  <si>
    <t>AN  062153     00</t>
  </si>
  <si>
    <t>GENIBIO</t>
  </si>
  <si>
    <t>AR  061987     00</t>
  </si>
  <si>
    <t>AR  062203     00</t>
  </si>
  <si>
    <t>AS  062023     00</t>
  </si>
  <si>
    <t>AS  062074     00</t>
  </si>
  <si>
    <t>AS  062093     00</t>
  </si>
  <si>
    <t>AN  061959     00</t>
  </si>
  <si>
    <t>PCC FRANCE</t>
  </si>
  <si>
    <t>AN  061969     00</t>
  </si>
  <si>
    <t>AN  061980     00</t>
  </si>
  <si>
    <t>AN  061982     00</t>
  </si>
  <si>
    <t>AN  061985     00</t>
  </si>
  <si>
    <t>AN  061986     00</t>
  </si>
  <si>
    <t>AN  061990     00</t>
  </si>
  <si>
    <t>AN  062000     00</t>
  </si>
  <si>
    <t>AN  062004     00</t>
  </si>
  <si>
    <t>AN  062007     00</t>
  </si>
  <si>
    <t>SPIE GLOBAL SERVICES ENERGY (OGS)</t>
  </si>
  <si>
    <t>AN  062011     00</t>
  </si>
  <si>
    <t>AN  062016     00</t>
  </si>
  <si>
    <t>AN  062021     00</t>
  </si>
  <si>
    <t>AN  062022     00</t>
  </si>
  <si>
    <t>AN  062026     00</t>
  </si>
  <si>
    <t>AN  062042     00</t>
  </si>
  <si>
    <t>DEWOITINE</t>
  </si>
  <si>
    <t>AN  062044     00</t>
  </si>
  <si>
    <t>AN  062047     00</t>
  </si>
  <si>
    <t>AN  062058     00</t>
  </si>
  <si>
    <t>AN  062061     00</t>
  </si>
  <si>
    <t>AN  062063     00</t>
  </si>
  <si>
    <t>AN  062064     00</t>
  </si>
  <si>
    <t>MECAMONT HYDRO S.A</t>
  </si>
  <si>
    <t>AN  062065     00</t>
  </si>
  <si>
    <t>AN  062075     00</t>
  </si>
  <si>
    <t>AN  062084     00</t>
  </si>
  <si>
    <t>AN  062095     00</t>
  </si>
  <si>
    <t>AN  062103     00</t>
  </si>
  <si>
    <t>AN  062121     00</t>
  </si>
  <si>
    <t>AN  062124     00</t>
  </si>
  <si>
    <t>AN  062125     00</t>
  </si>
  <si>
    <t>COMMUNAUTE AGGLO PAYS BASQUE 1</t>
  </si>
  <si>
    <t>AN  062128     00</t>
  </si>
  <si>
    <t>AN  062131     00</t>
  </si>
  <si>
    <t>AN  062133     00</t>
  </si>
  <si>
    <t>AN  062140     00</t>
  </si>
  <si>
    <t>AN  061965     00</t>
  </si>
  <si>
    <t>AN  061983     00</t>
  </si>
  <si>
    <t>AN  061989     00</t>
  </si>
  <si>
    <t>MARIE BRIZARD WINE &amp; SPIRITS FRANCE</t>
  </si>
  <si>
    <t>AN  061995     00</t>
  </si>
  <si>
    <t>RD PRODUCTIONS</t>
  </si>
  <si>
    <t>AN  062009     00</t>
  </si>
  <si>
    <t>AN  062010     00</t>
  </si>
  <si>
    <t>AN  062012     00</t>
  </si>
  <si>
    <t>SIRECH HOSTIER SE SAS</t>
  </si>
  <si>
    <t>AN  062017     00</t>
  </si>
  <si>
    <t>AN  062035     00</t>
  </si>
  <si>
    <t>AN  062036     00</t>
  </si>
  <si>
    <t>AN  062053     00</t>
  </si>
  <si>
    <t>AN  062054     00</t>
  </si>
  <si>
    <t>AN  062059     00</t>
  </si>
  <si>
    <t>AN  062060     00</t>
  </si>
  <si>
    <t>AN  062066     00</t>
  </si>
  <si>
    <t>AN  062069     00</t>
  </si>
  <si>
    <t>AN  062081     00</t>
  </si>
  <si>
    <t>AN  062085     00</t>
  </si>
  <si>
    <t>AN  062088     00</t>
  </si>
  <si>
    <t>AN  062101     00</t>
  </si>
  <si>
    <t>AN  062111     00</t>
  </si>
  <si>
    <t>AN  062112     00</t>
  </si>
  <si>
    <t>AN  062115     00</t>
  </si>
  <si>
    <t>AN  062117     00</t>
  </si>
  <si>
    <t>AN  062135     00</t>
  </si>
  <si>
    <t>AN  062137     00</t>
  </si>
  <si>
    <t>AN  062142     00</t>
  </si>
  <si>
    <t>AR  061936     00</t>
  </si>
  <si>
    <t>AF  062029     00</t>
  </si>
  <si>
    <t>AN  061961     00</t>
  </si>
  <si>
    <t>AN  061962     00</t>
  </si>
  <si>
    <t>AN  061968     00</t>
  </si>
  <si>
    <t>AN  061988     00</t>
  </si>
  <si>
    <t>AN  061991     00</t>
  </si>
  <si>
    <t>AN  062002     00</t>
  </si>
  <si>
    <t>AN  062005     00</t>
  </si>
  <si>
    <t>AN  062013     00</t>
  </si>
  <si>
    <t>AN  062015     00</t>
  </si>
  <si>
    <t>AN  062018     00</t>
  </si>
  <si>
    <t>AN  062019     00</t>
  </si>
  <si>
    <t>AN  062025     00</t>
  </si>
  <si>
    <t>AN  062027     00</t>
  </si>
  <si>
    <t>AN  062034     00</t>
  </si>
  <si>
    <t>AN  062037     00</t>
  </si>
  <si>
    <t>FROMAGERIE CHEVREFEUILLE</t>
  </si>
  <si>
    <t>AN  062039     00</t>
  </si>
  <si>
    <t>AN  062040     00</t>
  </si>
  <si>
    <t>AN  062045     00</t>
  </si>
  <si>
    <t>AN  062050     00</t>
  </si>
  <si>
    <t>AN  062051     00</t>
  </si>
  <si>
    <t>AN  062056     00</t>
  </si>
  <si>
    <t>AN  062062     00</t>
  </si>
  <si>
    <t>AN  062071     00</t>
  </si>
  <si>
    <t>AN  062072     00</t>
  </si>
  <si>
    <t>IFTS</t>
  </si>
  <si>
    <t>AN  062076     00</t>
  </si>
  <si>
    <t>AN  062078     00</t>
  </si>
  <si>
    <t>AN  062080     00</t>
  </si>
  <si>
    <t>AN  062086     00</t>
  </si>
  <si>
    <t>AN  062087     00</t>
  </si>
  <si>
    <t>AN  062100     00</t>
  </si>
  <si>
    <t>FROMARSAC</t>
  </si>
  <si>
    <t>AN  062102     00</t>
  </si>
  <si>
    <t>AN  062104     00</t>
  </si>
  <si>
    <t>AN  062106     00</t>
  </si>
  <si>
    <t>AN  062110     00</t>
  </si>
  <si>
    <t>EDF ATELIER ARGENTAT</t>
  </si>
  <si>
    <t>AN  062134     00</t>
  </si>
  <si>
    <t>LOGITRADE**</t>
  </si>
  <si>
    <t>AN  062136     00</t>
  </si>
  <si>
    <t>AN  062143     00</t>
  </si>
  <si>
    <t>AN  062144     00</t>
  </si>
  <si>
    <t>AN  062145     00</t>
  </si>
  <si>
    <t>MAITRE PRUNILLE CASSENEUIL</t>
  </si>
  <si>
    <t>AN  062146     00</t>
  </si>
  <si>
    <t>AR  061881     00</t>
  </si>
  <si>
    <t>AR  062032     00</t>
  </si>
  <si>
    <t>MAIRIE DE LIMOGNE EN QUERCY</t>
  </si>
  <si>
    <t>7</t>
  </si>
  <si>
    <t>AN  062161     00</t>
  </si>
  <si>
    <t>AN  062248     00</t>
  </si>
  <si>
    <t>AN  062326     00</t>
  </si>
  <si>
    <t>FRV Export</t>
  </si>
  <si>
    <t>AN  062317     00</t>
  </si>
  <si>
    <t>SFBT</t>
  </si>
  <si>
    <t>AF  062163     00</t>
  </si>
  <si>
    <t>AF  062262     00</t>
  </si>
  <si>
    <t>AF  062313     00</t>
  </si>
  <si>
    <t>AF  062314     00</t>
  </si>
  <si>
    <t>AF  062315     00</t>
  </si>
  <si>
    <t>AN  062207     00</t>
  </si>
  <si>
    <t>LINDE AMT ST ETIENNE S.A.S.</t>
  </si>
  <si>
    <t>AN  062164     00</t>
  </si>
  <si>
    <t>BERNUES</t>
  </si>
  <si>
    <t>AN  062199     00</t>
  </si>
  <si>
    <t>AN  062215     00</t>
  </si>
  <si>
    <t>AN  062228     00</t>
  </si>
  <si>
    <t>AN  062253     00</t>
  </si>
  <si>
    <t>AN  062257     00</t>
  </si>
  <si>
    <t>AN  062272     00</t>
  </si>
  <si>
    <t>AN  062278     00</t>
  </si>
  <si>
    <t>AN  062281     00</t>
  </si>
  <si>
    <t>AN  062294     00</t>
  </si>
  <si>
    <t>AN  062309     00</t>
  </si>
  <si>
    <t>AN  062310     00</t>
  </si>
  <si>
    <t>AN  062323     00</t>
  </si>
  <si>
    <t>AN  062327     00</t>
  </si>
  <si>
    <t>AN  062330     00</t>
  </si>
  <si>
    <t>AN  062157     00</t>
  </si>
  <si>
    <t>AN  062158     00</t>
  </si>
  <si>
    <t>AN  062159     00</t>
  </si>
  <si>
    <t>AN  062160     00</t>
  </si>
  <si>
    <t>AN  062167     00</t>
  </si>
  <si>
    <t>AN  062175     00</t>
  </si>
  <si>
    <t>AN  062178     00</t>
  </si>
  <si>
    <t>AN  062179     00</t>
  </si>
  <si>
    <t>AN  062183     00</t>
  </si>
  <si>
    <t>AN  062184     00</t>
  </si>
  <si>
    <t>AN  062185     00</t>
  </si>
  <si>
    <t>AN  062189     00</t>
  </si>
  <si>
    <t>AN  062192     00</t>
  </si>
  <si>
    <t>AN  062193     00</t>
  </si>
  <si>
    <t>AN  062202     00</t>
  </si>
  <si>
    <t>AN  062205     00</t>
  </si>
  <si>
    <t>AN  062206     00</t>
  </si>
  <si>
    <t>AN  062211     00</t>
  </si>
  <si>
    <t>AN  062212     00</t>
  </si>
  <si>
    <t>AN  062213     00</t>
  </si>
  <si>
    <t>AN  062214     00</t>
  </si>
  <si>
    <t>AN  062216     00</t>
  </si>
  <si>
    <t>AN  062219     00</t>
  </si>
  <si>
    <t>AN  062220     00</t>
  </si>
  <si>
    <t>AN  062223     00</t>
  </si>
  <si>
    <t>AN  062225     00</t>
  </si>
  <si>
    <t>AN  062226     00</t>
  </si>
  <si>
    <t>AN  062227     00</t>
  </si>
  <si>
    <t>AN  062230     00</t>
  </si>
  <si>
    <t>AN  062233     00</t>
  </si>
  <si>
    <t>AN  062234     00</t>
  </si>
  <si>
    <t>AN  062236     00</t>
  </si>
  <si>
    <t>AN  062238     00</t>
  </si>
  <si>
    <t>EURO TRANSFERT (ACHAT MATERIEL)</t>
  </si>
  <si>
    <t>AN  062241     00</t>
  </si>
  <si>
    <t>AN  062254     00</t>
  </si>
  <si>
    <t>AN  062258     00</t>
  </si>
  <si>
    <t>AN  062267     00</t>
  </si>
  <si>
    <t>AN  062270     00</t>
  </si>
  <si>
    <t>AN  062271     00</t>
  </si>
  <si>
    <t>AN  062275     00</t>
  </si>
  <si>
    <t>AN  062276     00</t>
  </si>
  <si>
    <t>AN  062277     00</t>
  </si>
  <si>
    <t>AN  062286     00</t>
  </si>
  <si>
    <t>AN  062288     00</t>
  </si>
  <si>
    <t>AN  062290     00</t>
  </si>
  <si>
    <t>AN  062293     00</t>
  </si>
  <si>
    <t>AN  062296     00</t>
  </si>
  <si>
    <t>AN  062298     00</t>
  </si>
  <si>
    <t>AN  062299     00</t>
  </si>
  <si>
    <t>AN  062300     00</t>
  </si>
  <si>
    <t>AN  062301     00</t>
  </si>
  <si>
    <t>AN  062311     00</t>
  </si>
  <si>
    <t>AN  062312     00</t>
  </si>
  <si>
    <t>AN  062316     00</t>
  </si>
  <si>
    <t>AN  062329     00</t>
  </si>
  <si>
    <t>AN  062331     00</t>
  </si>
  <si>
    <t>AN  062341     00</t>
  </si>
  <si>
    <t>AR  062250     00</t>
  </si>
  <si>
    <t>AR  062284     00</t>
  </si>
  <si>
    <t>AR  062325     00</t>
  </si>
  <si>
    <t>AR  062339     00</t>
  </si>
  <si>
    <t>AN  062162     00</t>
  </si>
  <si>
    <t>AN  062166     00</t>
  </si>
  <si>
    <t>AN  062173     00</t>
  </si>
  <si>
    <t>AN  062174     00</t>
  </si>
  <si>
    <t>VERMILION REP SAS</t>
  </si>
  <si>
    <t>AN  062181     00</t>
  </si>
  <si>
    <t>MUSEE DE LA MER</t>
  </si>
  <si>
    <t>AN  062182     00</t>
  </si>
  <si>
    <t>AN  062190     00</t>
  </si>
  <si>
    <t>AN  062194     00</t>
  </si>
  <si>
    <t>AN  062195     00</t>
  </si>
  <si>
    <t>AN  062218     00</t>
  </si>
  <si>
    <t>AN  062231     00</t>
  </si>
  <si>
    <t>AN  062240     00</t>
  </si>
  <si>
    <t>AN  062245     00</t>
  </si>
  <si>
    <t>AN  062260     00</t>
  </si>
  <si>
    <t>AN  062261     00</t>
  </si>
  <si>
    <t>AN  062263     00</t>
  </si>
  <si>
    <t>AN  062264     00</t>
  </si>
  <si>
    <t>AN  062279     00</t>
  </si>
  <si>
    <t>AN  062280     00</t>
  </si>
  <si>
    <t>AN  062282     00</t>
  </si>
  <si>
    <t>SERETRAM</t>
  </si>
  <si>
    <t>AN  062285     00</t>
  </si>
  <si>
    <t>AN  062289     00</t>
  </si>
  <si>
    <t>AN  062291     00</t>
  </si>
  <si>
    <t>AN  062292     00</t>
  </si>
  <si>
    <t>AN  062297     00</t>
  </si>
  <si>
    <t>AN  062306     00</t>
  </si>
  <si>
    <t>AN  062307     00</t>
  </si>
  <si>
    <t>AN  062308     00</t>
  </si>
  <si>
    <t>AN  062318     00</t>
  </si>
  <si>
    <t>AN  062321     00</t>
  </si>
  <si>
    <t>AN  062328     00</t>
  </si>
  <si>
    <t>AN  062332     00</t>
  </si>
  <si>
    <t>AN  062335     00</t>
  </si>
  <si>
    <t>AN  062337     00</t>
  </si>
  <si>
    <t>AN  062342     00</t>
  </si>
  <si>
    <t>AR  062148     00</t>
  </si>
  <si>
    <t>AR  062302     00</t>
  </si>
  <si>
    <t>AR  062303     00</t>
  </si>
  <si>
    <t>AF  062268     00</t>
  </si>
  <si>
    <t>EI TEM</t>
  </si>
  <si>
    <t>AN  062154     00</t>
  </si>
  <si>
    <t>AN  062155     00</t>
  </si>
  <si>
    <t>AN  062168     00</t>
  </si>
  <si>
    <t>AN  062169     00</t>
  </si>
  <si>
    <t>AN  062186     00</t>
  </si>
  <si>
    <t>AN  062187     00</t>
  </si>
  <si>
    <t>AN  062188     00</t>
  </si>
  <si>
    <t>CLEMESSY SERVICE EIFFEL INDUSTRIE</t>
  </si>
  <si>
    <t>AN  062197     00</t>
  </si>
  <si>
    <t>AN  062198     00</t>
  </si>
  <si>
    <t>AN  062204     00</t>
  </si>
  <si>
    <t>AN  062208     00</t>
  </si>
  <si>
    <t>AN  062221     00</t>
  </si>
  <si>
    <t>AN  062242     00</t>
  </si>
  <si>
    <t>MENEAU ( SA )</t>
  </si>
  <si>
    <t>AN  062255     00</t>
  </si>
  <si>
    <t>AN  062266     00</t>
  </si>
  <si>
    <t>GIRONDE SPECIALITES</t>
  </si>
  <si>
    <t>AN  062269     00</t>
  </si>
  <si>
    <t>AN  062287     00</t>
  </si>
  <si>
    <t>AN  062319     00</t>
  </si>
  <si>
    <t>AN  062334     00</t>
  </si>
  <si>
    <t>AR  062340     00</t>
  </si>
  <si>
    <t>AN  062252     00</t>
  </si>
  <si>
    <t>AN  062156     00</t>
  </si>
  <si>
    <t>AN  062172     00</t>
  </si>
  <si>
    <t>AN  062191     00</t>
  </si>
  <si>
    <t>AN  062196     00</t>
  </si>
  <si>
    <t>AN  062200     00</t>
  </si>
  <si>
    <t>AN  062201     00</t>
  </si>
  <si>
    <t>AN  062209     00</t>
  </si>
  <si>
    <t>AN  062210     00</t>
  </si>
  <si>
    <t>AN  062222     00</t>
  </si>
  <si>
    <t>AN  062224     00</t>
  </si>
  <si>
    <t>AN  062232     00</t>
  </si>
  <si>
    <t>AN  062237     00</t>
  </si>
  <si>
    <t>AN  062243     00</t>
  </si>
  <si>
    <t>AN  062246     00</t>
  </si>
  <si>
    <t>AN  062247     00</t>
  </si>
  <si>
    <t>AN  062251     00</t>
  </si>
  <si>
    <t>AN  062256     00</t>
  </si>
  <si>
    <t>AN  062259     00</t>
  </si>
  <si>
    <t>AN  062265     00</t>
  </si>
  <si>
    <t>AN  062295     00</t>
  </si>
  <si>
    <t>AN  062304     00</t>
  </si>
  <si>
    <t>AN  062305     00</t>
  </si>
  <si>
    <t>AN  062320     00</t>
  </si>
  <si>
    <t>AN  062322     00</t>
  </si>
  <si>
    <t>AN  062324     00</t>
  </si>
  <si>
    <t>AN  062333     00</t>
  </si>
  <si>
    <t>AN  062336     00</t>
  </si>
  <si>
    <t>SOCIETE D'ABATTAGE DE THIVIERS</t>
  </si>
  <si>
    <t>AR  061612     00</t>
  </si>
  <si>
    <t>AR  062165     00</t>
  </si>
  <si>
    <t>8</t>
  </si>
  <si>
    <t>AF  062343     00</t>
  </si>
  <si>
    <t>AF  062345     00</t>
  </si>
  <si>
    <t>AF  062362     00</t>
  </si>
  <si>
    <t>AF  062377     00</t>
  </si>
  <si>
    <t>AN  062347     00</t>
  </si>
  <si>
    <t>AN  062349     00</t>
  </si>
  <si>
    <t>AN  062351     00</t>
  </si>
  <si>
    <t>AN  062358     00</t>
  </si>
  <si>
    <t>AN  062368     00</t>
  </si>
  <si>
    <t>AN  062376     00</t>
  </si>
  <si>
    <t>AN  062392     00</t>
  </si>
  <si>
    <t>AN  062398     00</t>
  </si>
  <si>
    <t>KONINGS SPIRITS &amp; DRINKS FRANCE</t>
  </si>
  <si>
    <t>AN  062401     00</t>
  </si>
  <si>
    <t>BRL EXPLOITATION</t>
  </si>
  <si>
    <t>AN  062411     00</t>
  </si>
  <si>
    <t>DISTILLERIE COOPERATIVE ARGELIERS</t>
  </si>
  <si>
    <t>AN  062412     00</t>
  </si>
  <si>
    <t>AN  062417     00</t>
  </si>
  <si>
    <t>AN  062427     00</t>
  </si>
  <si>
    <t>AN  062436     00</t>
  </si>
  <si>
    <t>AN  062469     00</t>
  </si>
  <si>
    <t>AN  062476     00</t>
  </si>
  <si>
    <t>AN  062480     00</t>
  </si>
  <si>
    <t>AN  062346     00</t>
  </si>
  <si>
    <t>AN  062353     00</t>
  </si>
  <si>
    <t>AN  062363     00</t>
  </si>
  <si>
    <t>AN  062364     00</t>
  </si>
  <si>
    <t>AN  062365     00</t>
  </si>
  <si>
    <t>AN  062373     00</t>
  </si>
  <si>
    <t>AN  062374     00</t>
  </si>
  <si>
    <t>AN  062375     00</t>
  </si>
  <si>
    <t>AN  062380     00</t>
  </si>
  <si>
    <t>AN  062383     00</t>
  </si>
  <si>
    <t>AN  062384     00</t>
  </si>
  <si>
    <t>AN  062393     00</t>
  </si>
  <si>
    <t>AN  062403     00</t>
  </si>
  <si>
    <t>AN  062407     00</t>
  </si>
  <si>
    <t>AN  062408     00</t>
  </si>
  <si>
    <t>AN  062409     00</t>
  </si>
  <si>
    <t>AN  062410     00</t>
  </si>
  <si>
    <t>AN  062415     00</t>
  </si>
  <si>
    <t>AN  062421     00</t>
  </si>
  <si>
    <t>MADEX SAS</t>
  </si>
  <si>
    <t>AN  062432     00</t>
  </si>
  <si>
    <t>AN  062434     00</t>
  </si>
  <si>
    <t>AN  062455     00</t>
  </si>
  <si>
    <t>AN  062468     00</t>
  </si>
  <si>
    <t>AN  062473     00</t>
  </si>
  <si>
    <t>AN  062474     00</t>
  </si>
  <si>
    <t>AN  062475     00</t>
  </si>
  <si>
    <t>AN  062482     00</t>
  </si>
  <si>
    <t>AR  061964     00</t>
  </si>
  <si>
    <t>AF  062389     00</t>
  </si>
  <si>
    <t>AF  062391     00</t>
  </si>
  <si>
    <t>AN  062344     00</t>
  </si>
  <si>
    <t>AN  062348     00</t>
  </si>
  <si>
    <t>AN  062352     00</t>
  </si>
  <si>
    <t>AN  062357     00</t>
  </si>
  <si>
    <t>SBS</t>
  </si>
  <si>
    <t>AN  062369     00</t>
  </si>
  <si>
    <t>SANOFI CHIMIE</t>
  </si>
  <si>
    <t>AN  062388     00</t>
  </si>
  <si>
    <t>TOM D'AQUI</t>
  </si>
  <si>
    <t>LCA</t>
  </si>
  <si>
    <t>AN  062395     00</t>
  </si>
  <si>
    <t>AN  062400     00</t>
  </si>
  <si>
    <t>SAFIM-DEXIS MONT DE MARSAN</t>
  </si>
  <si>
    <t>AN  062413     00</t>
  </si>
  <si>
    <t>AN  062414     00</t>
  </si>
  <si>
    <t>AN  062419     00</t>
  </si>
  <si>
    <t>AN  062430     00</t>
  </si>
  <si>
    <t>NOVEAL</t>
  </si>
  <si>
    <t>AN  062435     00</t>
  </si>
  <si>
    <t>AN  062437     00</t>
  </si>
  <si>
    <t>AN  062438     00</t>
  </si>
  <si>
    <t>AN  062439     00</t>
  </si>
  <si>
    <t>AN  062440     00</t>
  </si>
  <si>
    <t>AN  062442     00</t>
  </si>
  <si>
    <t>AN  062456     00</t>
  </si>
  <si>
    <t>AN  062462     00</t>
  </si>
  <si>
    <t>AN  062464     00</t>
  </si>
  <si>
    <t>CIR TARBES</t>
  </si>
  <si>
    <t>AN  062465     00</t>
  </si>
  <si>
    <t>NATURAL PLANT PROTECTION NPP</t>
  </si>
  <si>
    <t>AN  062467     00</t>
  </si>
  <si>
    <t>AN  062477     00</t>
  </si>
  <si>
    <t>AR  062354     00</t>
  </si>
  <si>
    <t>AR  062371     00</t>
  </si>
  <si>
    <t>AR  062481     00</t>
  </si>
  <si>
    <t>AN  062366     00</t>
  </si>
  <si>
    <t>AN  062367     00</t>
  </si>
  <si>
    <t>AN  062378     00</t>
  </si>
  <si>
    <t>AN  062390     00</t>
  </si>
  <si>
    <t>AN  062418     00</t>
  </si>
  <si>
    <t>MEDA MANUFACTURING</t>
  </si>
  <si>
    <t>AN  062422     00</t>
  </si>
  <si>
    <t>AN  062424     00</t>
  </si>
  <si>
    <t>AN  062428     00</t>
  </si>
  <si>
    <t>AN  062431     00</t>
  </si>
  <si>
    <t>AN  062433     00</t>
  </si>
  <si>
    <t>AN  062444     00</t>
  </si>
  <si>
    <t>AN  062445     00</t>
  </si>
  <si>
    <t>AN  062449     00</t>
  </si>
  <si>
    <t>AN  062459     00</t>
  </si>
  <si>
    <t>AN  062460     00</t>
  </si>
  <si>
    <t>AN  062478     00</t>
  </si>
  <si>
    <t>AN  062479     00</t>
  </si>
  <si>
    <t>AR  062067     00</t>
  </si>
  <si>
    <t>CP PUMPEN</t>
  </si>
  <si>
    <t>AF  062361     00</t>
  </si>
  <si>
    <t>AN  062350     00</t>
  </si>
  <si>
    <t>AN  062355     00</t>
  </si>
  <si>
    <t>SICA CASTANG</t>
  </si>
  <si>
    <t>AN  062356     00</t>
  </si>
  <si>
    <t>AN  062359     00</t>
  </si>
  <si>
    <t>AN  062379     00</t>
  </si>
  <si>
    <t>AN  062381     00</t>
  </si>
  <si>
    <t>AN  062382     00</t>
  </si>
  <si>
    <t>AN  062385     00</t>
  </si>
  <si>
    <t>AN  062386     00</t>
  </si>
  <si>
    <t>AN  062394     00</t>
  </si>
  <si>
    <t>AN  062396     00</t>
  </si>
  <si>
    <t>AN  062397     00</t>
  </si>
  <si>
    <t>AN  062399     00</t>
  </si>
  <si>
    <t>AN  062402     00</t>
  </si>
  <si>
    <t>AN  062404     00</t>
  </si>
  <si>
    <t>AN  062405     00</t>
  </si>
  <si>
    <t>AN  062416     00</t>
  </si>
  <si>
    <t>AN  062423     00</t>
  </si>
  <si>
    <t>AN  062426     00</t>
  </si>
  <si>
    <t>AN  062429     00</t>
  </si>
  <si>
    <t>AN  062441     00</t>
  </si>
  <si>
    <t>AN  062443     00</t>
  </si>
  <si>
    <t>AN  062446     00</t>
  </si>
  <si>
    <t>AN  062447     00</t>
  </si>
  <si>
    <t>AN  062450     00</t>
  </si>
  <si>
    <t>AN  062451     00</t>
  </si>
  <si>
    <t>AN  062452     00</t>
  </si>
  <si>
    <t>AN  062453     00</t>
  </si>
  <si>
    <t>AN  062454     00</t>
  </si>
  <si>
    <t>AN  062457     00</t>
  </si>
  <si>
    <t>AN  062458     00</t>
  </si>
  <si>
    <t>AN  062463     00</t>
  </si>
  <si>
    <t>AN  062466     00</t>
  </si>
  <si>
    <t>MECABRIVE INDUSTRIES</t>
  </si>
  <si>
    <t>AN  062470     00</t>
  </si>
  <si>
    <t>AN  062471     00</t>
  </si>
  <si>
    <t>9</t>
  </si>
  <si>
    <t>AN  062568     00</t>
  </si>
  <si>
    <t>AN  062575     00</t>
  </si>
  <si>
    <t>LAREDY SA</t>
  </si>
  <si>
    <t>AN  062584     00</t>
  </si>
  <si>
    <t>AN  062592     00</t>
  </si>
  <si>
    <t>AN  062606     00</t>
  </si>
  <si>
    <t>AF  062547     00</t>
  </si>
  <si>
    <t>AF  062578     00</t>
  </si>
  <si>
    <t>AN  062505     00</t>
  </si>
  <si>
    <t>FROMAGERIE DU VELAY</t>
  </si>
  <si>
    <t>AN  062488     00</t>
  </si>
  <si>
    <t>AN  062490     00</t>
  </si>
  <si>
    <t>AN  062532     00</t>
  </si>
  <si>
    <t>AN  062534     00</t>
  </si>
  <si>
    <t>AN  062535     00</t>
  </si>
  <si>
    <t>DISTILLERIE COOPERATIVE</t>
  </si>
  <si>
    <t>AN  062544     00</t>
  </si>
  <si>
    <t>AN  062593     00</t>
  </si>
  <si>
    <t>AN  062617     00</t>
  </si>
  <si>
    <t>AN  062652     00</t>
  </si>
  <si>
    <t>AF  062597     00</t>
  </si>
  <si>
    <t>AI  062631     00</t>
  </si>
  <si>
    <t>AN  062486     00</t>
  </si>
  <si>
    <t>AN  062499     00</t>
  </si>
  <si>
    <t>AN  062500     00</t>
  </si>
  <si>
    <t>AN  062501     00</t>
  </si>
  <si>
    <t>AN  062506     00</t>
  </si>
  <si>
    <t>AN  062507     00</t>
  </si>
  <si>
    <t>AN  062518     00</t>
  </si>
  <si>
    <t>AN  062523     00</t>
  </si>
  <si>
    <t>AN  062524     00</t>
  </si>
  <si>
    <t>AN  062525     00</t>
  </si>
  <si>
    <t>AN  062527     00</t>
  </si>
  <si>
    <t>CFAI MIDI PYRENEES</t>
  </si>
  <si>
    <t>AN  062528     00</t>
  </si>
  <si>
    <t>AN  062529     00</t>
  </si>
  <si>
    <t>AN  062531     00</t>
  </si>
  <si>
    <t>AN  062533     00</t>
  </si>
  <si>
    <t>AN  062536     00</t>
  </si>
  <si>
    <t>AN  062538     00</t>
  </si>
  <si>
    <t>AN  062543     00</t>
  </si>
  <si>
    <t>AN  062545     00</t>
  </si>
  <si>
    <t>SPIE BATIGNOLLES MALET</t>
  </si>
  <si>
    <t>AN  062548     00</t>
  </si>
  <si>
    <t>AN  062552     00</t>
  </si>
  <si>
    <t>AN  062563     00</t>
  </si>
  <si>
    <t>AN  062569     00</t>
  </si>
  <si>
    <t>AN  062572     00</t>
  </si>
  <si>
    <t>AN  062574     00</t>
  </si>
  <si>
    <t>AN  062576     00</t>
  </si>
  <si>
    <t>AN  062583     00</t>
  </si>
  <si>
    <t>AN  062590     00</t>
  </si>
  <si>
    <t>AN  062594     00</t>
  </si>
  <si>
    <t>AN  062599     00</t>
  </si>
  <si>
    <t>AN  062605     00</t>
  </si>
  <si>
    <t>AN  062608     00</t>
  </si>
  <si>
    <t>ABATTOIRS DU COMMINGES-BOULOGNE</t>
  </si>
  <si>
    <t>AN  062611     00</t>
  </si>
  <si>
    <t>AN  062614     00</t>
  </si>
  <si>
    <t>AN  062618     00</t>
  </si>
  <si>
    <t>AN  062619     00</t>
  </si>
  <si>
    <t>AN  062629     00</t>
  </si>
  <si>
    <t>AN  062634     00</t>
  </si>
  <si>
    <t>AN  062637     00</t>
  </si>
  <si>
    <t>AN  062640     00</t>
  </si>
  <si>
    <t>AR  062558     00</t>
  </si>
  <si>
    <t>AR  062566     00</t>
  </si>
  <si>
    <t>AR  062630     00</t>
  </si>
  <si>
    <t>AN  062494     00</t>
  </si>
  <si>
    <t>AN  062495     00</t>
  </si>
  <si>
    <t>AN  062496     00</t>
  </si>
  <si>
    <t>AN  062497     00</t>
  </si>
  <si>
    <t>AN  062502     00</t>
  </si>
  <si>
    <t>AN  062503     00</t>
  </si>
  <si>
    <t>AN  062513     00</t>
  </si>
  <si>
    <t>FROMAGERIE DU PAYS D'ARAMITS</t>
  </si>
  <si>
    <t>AN  062526     00</t>
  </si>
  <si>
    <t>GASCOGNE FLEXIBLE</t>
  </si>
  <si>
    <t>AN  062537     00</t>
  </si>
  <si>
    <t>AN  062549     00</t>
  </si>
  <si>
    <t>AN  062550     00</t>
  </si>
  <si>
    <t>AN  062551     00</t>
  </si>
  <si>
    <t>AN  062556     00</t>
  </si>
  <si>
    <t>AN  062557     00</t>
  </si>
  <si>
    <t>AN  062564     00</t>
  </si>
  <si>
    <t>LOUBSENS</t>
  </si>
  <si>
    <t>AN  062570     00</t>
  </si>
  <si>
    <t>AN  062577     00</t>
  </si>
  <si>
    <t>AN  062582     00</t>
  </si>
  <si>
    <t>AN  062595     00</t>
  </si>
  <si>
    <t>AN  062596     00</t>
  </si>
  <si>
    <t>AN  062600     00</t>
  </si>
  <si>
    <t>AN  062602     00</t>
  </si>
  <si>
    <t>AN  062604     00</t>
  </si>
  <si>
    <t>AN  062609     00</t>
  </si>
  <si>
    <t>LABEYRIE 40</t>
  </si>
  <si>
    <t>AN  062623     00</t>
  </si>
  <si>
    <t>AN  062627     00</t>
  </si>
  <si>
    <t>AN  062628     00</t>
  </si>
  <si>
    <t>AN  062651     00</t>
  </si>
  <si>
    <t>AN  062653     00</t>
  </si>
  <si>
    <t>AR  062177     00</t>
  </si>
  <si>
    <t>AN  062484     00</t>
  </si>
  <si>
    <t>AN  062485     00</t>
  </si>
  <si>
    <t>AN  062489     00</t>
  </si>
  <si>
    <t>FLEX HYDRO COMPOSANTS</t>
  </si>
  <si>
    <t>AN  062491     00</t>
  </si>
  <si>
    <t>AN  062492     00</t>
  </si>
  <si>
    <t>AN  062511     00</t>
  </si>
  <si>
    <t>AN  062512     00</t>
  </si>
  <si>
    <t>AN  062515     00</t>
  </si>
  <si>
    <t>AN  062519     00</t>
  </si>
  <si>
    <t>AN  062522     00</t>
  </si>
  <si>
    <t>AN  062530     00</t>
  </si>
  <si>
    <t>AN  062539     00</t>
  </si>
  <si>
    <t>AN  062540     00</t>
  </si>
  <si>
    <t>AN  062554     00</t>
  </si>
  <si>
    <t>LOEUL ET PIRIOT</t>
  </si>
  <si>
    <t>AN  062559     00</t>
  </si>
  <si>
    <t>AN  062560     00</t>
  </si>
  <si>
    <t>AN  062567     00</t>
  </si>
  <si>
    <t>AN  062586     00</t>
  </si>
  <si>
    <t>AN  062591     00</t>
  </si>
  <si>
    <t>AN  062615     00</t>
  </si>
  <si>
    <t>AN  062622     00</t>
  </si>
  <si>
    <t>AN  062624     00</t>
  </si>
  <si>
    <t>AN  062625     00</t>
  </si>
  <si>
    <t>AN  062626     00</t>
  </si>
  <si>
    <t>AN  062632     00</t>
  </si>
  <si>
    <t>AN  062635     00</t>
  </si>
  <si>
    <t>AN  062638     00</t>
  </si>
  <si>
    <t>AN  062639     00</t>
  </si>
  <si>
    <t>AR  062217     00</t>
  </si>
  <si>
    <t>AR  062425     00</t>
  </si>
  <si>
    <t>AN  062483     00</t>
  </si>
  <si>
    <t>AN  062487     00</t>
  </si>
  <si>
    <t>RAYNAL &amp; ROQUELAURE 47</t>
  </si>
  <si>
    <t>AN  062493     00</t>
  </si>
  <si>
    <t>LNUF MONTAYRAL</t>
  </si>
  <si>
    <t>AN  062498     00</t>
  </si>
  <si>
    <t>AN  062504     00</t>
  </si>
  <si>
    <t>AN  062509     00</t>
  </si>
  <si>
    <t>COLAS SUD OUEST USINE ST ASTIER</t>
  </si>
  <si>
    <t>AN  062510     00</t>
  </si>
  <si>
    <t>AN  062514     00</t>
  </si>
  <si>
    <t>AN  062516     00</t>
  </si>
  <si>
    <t>AN  062517     00</t>
  </si>
  <si>
    <t>AN  062520     00</t>
  </si>
  <si>
    <t>AN  062521     00</t>
  </si>
  <si>
    <t>AN  062541     00</t>
  </si>
  <si>
    <t>AN  062542     00</t>
  </si>
  <si>
    <t>CALVET SARL</t>
  </si>
  <si>
    <t>AN  062546     00</t>
  </si>
  <si>
    <t>AN  062553     00</t>
  </si>
  <si>
    <t>AN  062561     00</t>
  </si>
  <si>
    <t>AN  062562     00</t>
  </si>
  <si>
    <t>AN  062571     00</t>
  </si>
  <si>
    <t>AN  062573     00</t>
  </si>
  <si>
    <t>AN  062579     00</t>
  </si>
  <si>
    <t>AN  062585     00</t>
  </si>
  <si>
    <t>AN  062587     00</t>
  </si>
  <si>
    <t>AN  062588     00</t>
  </si>
  <si>
    <t>AN  062601     00</t>
  </si>
  <si>
    <t>AN  062603     00</t>
  </si>
  <si>
    <t>AN  062607     00</t>
  </si>
  <si>
    <t>AN  062610     00</t>
  </si>
  <si>
    <t>AN  062612     00</t>
  </si>
  <si>
    <t>AN  062616     00</t>
  </si>
  <si>
    <t>AN  062620     00</t>
  </si>
  <si>
    <t>AN  062621     00</t>
  </si>
  <si>
    <t>EURENCO</t>
  </si>
  <si>
    <t>AN  062633     00</t>
  </si>
  <si>
    <t>AN  062641     00</t>
  </si>
  <si>
    <t>AR  062244     00</t>
  </si>
  <si>
    <t>AR  062283     00</t>
  </si>
  <si>
    <t>AR  062461     00</t>
  </si>
  <si>
    <t>10</t>
  </si>
  <si>
    <t>AF  062647     00</t>
  </si>
  <si>
    <t>AF  062648     00</t>
  </si>
  <si>
    <t>AF  062649     00</t>
  </si>
  <si>
    <t>AF  062802     00</t>
  </si>
  <si>
    <t>AF  062804     00</t>
  </si>
  <si>
    <t>AN  062745     00</t>
  </si>
  <si>
    <t>AN  062763     00</t>
  </si>
  <si>
    <t>AN  062782     00</t>
  </si>
  <si>
    <t>COOL EXECUTIVE</t>
  </si>
  <si>
    <t>AN  062643     00</t>
  </si>
  <si>
    <t>AN  062660     00</t>
  </si>
  <si>
    <t>AN  062687     00</t>
  </si>
  <si>
    <t>AN  062692     00</t>
  </si>
  <si>
    <t>CHAUMAT CHIMIE</t>
  </si>
  <si>
    <t>AN  062693     00</t>
  </si>
  <si>
    <t>ATL</t>
  </si>
  <si>
    <t>AN  062719     00</t>
  </si>
  <si>
    <t>AN  062751     00</t>
  </si>
  <si>
    <t>AN  062753     00</t>
  </si>
  <si>
    <t>SOCIETE FROMAGERE DE RODEZ(LACTALIS</t>
  </si>
  <si>
    <t>AN  062755     00</t>
  </si>
  <si>
    <t>AN  062764     00</t>
  </si>
  <si>
    <t>AN  062774     00</t>
  </si>
  <si>
    <t>AN  062776     00</t>
  </si>
  <si>
    <t>AN  062790     00</t>
  </si>
  <si>
    <t>AN  062645     00</t>
  </si>
  <si>
    <t>AN  062646     00</t>
  </si>
  <si>
    <t>AN  062650     00</t>
  </si>
  <si>
    <t>AN  062654     00</t>
  </si>
  <si>
    <t>AN  062656     00</t>
  </si>
  <si>
    <t>AN  062663     00</t>
  </si>
  <si>
    <t>AN  062669     00</t>
  </si>
  <si>
    <t>AN  062670     00</t>
  </si>
  <si>
    <t>AN  062671     00</t>
  </si>
  <si>
    <t>AN  062672     00</t>
  </si>
  <si>
    <t>AN  062676     00</t>
  </si>
  <si>
    <t>AN  062680     00</t>
  </si>
  <si>
    <t>AN  062688     00</t>
  </si>
  <si>
    <t>AN  062690     00</t>
  </si>
  <si>
    <t>AN  062694     00</t>
  </si>
  <si>
    <t>AN  062695     00</t>
  </si>
  <si>
    <t>AN  062697     00</t>
  </si>
  <si>
    <t>AN  062698     00</t>
  </si>
  <si>
    <t>AN  062700     00</t>
  </si>
  <si>
    <t>AN  062714     00</t>
  </si>
  <si>
    <t>AN  062718     00</t>
  </si>
  <si>
    <t>AN  062723     00</t>
  </si>
  <si>
    <t>AN  062724     00</t>
  </si>
  <si>
    <t>AN  062727     00</t>
  </si>
  <si>
    <t>AN  062733     00</t>
  </si>
  <si>
    <t>AN  062742     00</t>
  </si>
  <si>
    <t>AN  062743     00</t>
  </si>
  <si>
    <t>AN  062754     00</t>
  </si>
  <si>
    <t>AN  062759     00</t>
  </si>
  <si>
    <t>AN  062767     00</t>
  </si>
  <si>
    <t>AN  062768     00</t>
  </si>
  <si>
    <t>AN  062769     00</t>
  </si>
  <si>
    <t>AN  062771     00</t>
  </si>
  <si>
    <t>AN  062773     00</t>
  </si>
  <si>
    <t>AN  062781     00</t>
  </si>
  <si>
    <t>AN  062788     00</t>
  </si>
  <si>
    <t>AN  062791     00</t>
  </si>
  <si>
    <t>AN  062794     00</t>
  </si>
  <si>
    <t>AN  062795     00</t>
  </si>
  <si>
    <t>AN  062798     00</t>
  </si>
  <si>
    <t>AN  062803     00</t>
  </si>
  <si>
    <t>AN  062805     00</t>
  </si>
  <si>
    <t>AR  062707     00</t>
  </si>
  <si>
    <t>AR  062744     00</t>
  </si>
  <si>
    <t>AS  062664     00</t>
  </si>
  <si>
    <t>COLAS TOULOUSE</t>
  </si>
  <si>
    <t>AF  062747     00</t>
  </si>
  <si>
    <t>AF  062749     00</t>
  </si>
  <si>
    <t>AN  062642     00</t>
  </si>
  <si>
    <t>AN  062644     00</t>
  </si>
  <si>
    <t>AN  062655     00</t>
  </si>
  <si>
    <t>AN  062659     00</t>
  </si>
  <si>
    <t>AN  062665     00</t>
  </si>
  <si>
    <t>AN  062666     00</t>
  </si>
  <si>
    <t>AN  062674     00</t>
  </si>
  <si>
    <t>AN  062677     00</t>
  </si>
  <si>
    <t>AN  062679     00</t>
  </si>
  <si>
    <t>AN  062685     00</t>
  </si>
  <si>
    <t>AN  062691     00</t>
  </si>
  <si>
    <t>AN  062696     00</t>
  </si>
  <si>
    <t>AGILITEAM VOIR 411001848</t>
  </si>
  <si>
    <t>AN  062701     00</t>
  </si>
  <si>
    <t>AN  062702     00</t>
  </si>
  <si>
    <t>AN  062703     00</t>
  </si>
  <si>
    <t>AN  062706     00</t>
  </si>
  <si>
    <t>AN  062709     00</t>
  </si>
  <si>
    <t>AN  062711     00</t>
  </si>
  <si>
    <t>AN  062712     00</t>
  </si>
  <si>
    <t>AN  062713     00</t>
  </si>
  <si>
    <t>AN  062716     00</t>
  </si>
  <si>
    <t>AN  062717     00</t>
  </si>
  <si>
    <t>AN  062720     00</t>
  </si>
  <si>
    <t>AN  062725     00</t>
  </si>
  <si>
    <t>AN  062726     00</t>
  </si>
  <si>
    <t>AN  062728     00</t>
  </si>
  <si>
    <t>AN  062729     00</t>
  </si>
  <si>
    <t>STEAP STAILOR</t>
  </si>
  <si>
    <t>AN  062732     00</t>
  </si>
  <si>
    <t>AN  062735     00</t>
  </si>
  <si>
    <t>AN  062736     00</t>
  </si>
  <si>
    <t>AN  062746     00</t>
  </si>
  <si>
    <t>AN  062766     00</t>
  </si>
  <si>
    <t>AN  062770     00</t>
  </si>
  <si>
    <t>AN  062785     00</t>
  </si>
  <si>
    <t>AN  062786     00</t>
  </si>
  <si>
    <t>AN  062787     00</t>
  </si>
  <si>
    <t>AN  062796     00</t>
  </si>
  <si>
    <t>AN  062797     00</t>
  </si>
  <si>
    <t>AN  062799     00</t>
  </si>
  <si>
    <t>AN  062801     00</t>
  </si>
  <si>
    <t>AN  062806     00</t>
  </si>
  <si>
    <t>AR  062689     00</t>
  </si>
  <si>
    <t>AN  062657     00</t>
  </si>
  <si>
    <t>AN  062662     00</t>
  </si>
  <si>
    <t>AN  062667     00</t>
  </si>
  <si>
    <t>AN  062673     00</t>
  </si>
  <si>
    <t>DATAONE VINELAND LLC</t>
  </si>
  <si>
    <t>AN  062684     00</t>
  </si>
  <si>
    <t>AN  062699     00</t>
  </si>
  <si>
    <t>DIVIN</t>
  </si>
  <si>
    <t>AN  062721     00</t>
  </si>
  <si>
    <t>AN  062730     00</t>
  </si>
  <si>
    <t>AN  062731     00</t>
  </si>
  <si>
    <t>AN  062734     00</t>
  </si>
  <si>
    <t>LIANTS CHARENTAIS</t>
  </si>
  <si>
    <t>AN  062741     00</t>
  </si>
  <si>
    <t>AN  062752     00</t>
  </si>
  <si>
    <t>AN  062756     00</t>
  </si>
  <si>
    <t>AN  062758     00</t>
  </si>
  <si>
    <t>AN  062772     00</t>
  </si>
  <si>
    <t>AN  062779     00</t>
  </si>
  <si>
    <t>AN  062789     00</t>
  </si>
  <si>
    <t>AN  062800     00</t>
  </si>
  <si>
    <t>AR  062472     00</t>
  </si>
  <si>
    <t>ACTEMIUM BORDEAUX</t>
  </si>
  <si>
    <t>AR  062708     00</t>
  </si>
  <si>
    <t>SIMOREP &amp; CIE,CSM MICHELIN</t>
  </si>
  <si>
    <t>AF  062710     00</t>
  </si>
  <si>
    <t>AN  062661     00</t>
  </si>
  <si>
    <t>AN  062678     00</t>
  </si>
  <si>
    <t>SHEM GU DU LOT</t>
  </si>
  <si>
    <t>AN  062682     00</t>
  </si>
  <si>
    <t>AN  062683     00</t>
  </si>
  <si>
    <t>AN  062686     00</t>
  </si>
  <si>
    <t>AN  062705     00</t>
  </si>
  <si>
    <t>TIAG</t>
  </si>
  <si>
    <t>AN  062715     00</t>
  </si>
  <si>
    <t>AN  062722     00</t>
  </si>
  <si>
    <t>AN  062737     00</t>
  </si>
  <si>
    <t>AN  062738     00</t>
  </si>
  <si>
    <t>AN  062748     00</t>
  </si>
  <si>
    <t>AN  062757     00</t>
  </si>
  <si>
    <t>AN  062761     00</t>
  </si>
  <si>
    <t>AN  062762     00</t>
  </si>
  <si>
    <t>SOCIETE FROMAGERE DE LOUBRESSAC</t>
  </si>
  <si>
    <t>AN  062765     00</t>
  </si>
  <si>
    <t>AN  062775     00</t>
  </si>
  <si>
    <t>AN  062777     00</t>
  </si>
  <si>
    <t>AN  062778     00</t>
  </si>
  <si>
    <t>AN  062780     00</t>
  </si>
  <si>
    <t>AN  062783     00</t>
  </si>
  <si>
    <t>AN  062784     00</t>
  </si>
  <si>
    <t>AN  062792     00</t>
  </si>
  <si>
    <t>AN  062793     00</t>
  </si>
  <si>
    <t>AN  062807     00</t>
  </si>
  <si>
    <t>AR  062598     00</t>
  </si>
  <si>
    <t>11</t>
  </si>
  <si>
    <t>AN  062892     00</t>
  </si>
  <si>
    <t>AF  062875     00</t>
  </si>
  <si>
    <t>SEFI LOUDET DPT PROFILES</t>
  </si>
  <si>
    <t>AF  062901     00</t>
  </si>
  <si>
    <t>AN  062811     00</t>
  </si>
  <si>
    <t>AN  062821     00</t>
  </si>
  <si>
    <t>AN  062833     00</t>
  </si>
  <si>
    <t>ETPL ET V</t>
  </si>
  <si>
    <t>AN  062850     00</t>
  </si>
  <si>
    <t>AN  062853     00</t>
  </si>
  <si>
    <t>AN  062915     00</t>
  </si>
  <si>
    <t>AN  062916     00</t>
  </si>
  <si>
    <t>AN  062936     00</t>
  </si>
  <si>
    <t>AN  062818     00</t>
  </si>
  <si>
    <t>AN  062823     00</t>
  </si>
  <si>
    <t>AN  062824     00</t>
  </si>
  <si>
    <t>AN  062828     00</t>
  </si>
  <si>
    <t>AN  062829     00</t>
  </si>
  <si>
    <t>AN  062831     00</t>
  </si>
  <si>
    <t>AN  062840     00</t>
  </si>
  <si>
    <t>AN  062844     00</t>
  </si>
  <si>
    <t>AN  062845     00</t>
  </si>
  <si>
    <t>AN  062847     00</t>
  </si>
  <si>
    <t>AN  062848     00</t>
  </si>
  <si>
    <t>AN  062849     00</t>
  </si>
  <si>
    <t>AN  062854     00</t>
  </si>
  <si>
    <t>AN  062855     00</t>
  </si>
  <si>
    <t>AN  062857     00</t>
  </si>
  <si>
    <t>AN  062859     00</t>
  </si>
  <si>
    <t>AN  062865     00</t>
  </si>
  <si>
    <t>AN  062878     00</t>
  </si>
  <si>
    <t>AN  062884     00</t>
  </si>
  <si>
    <t>AN  062888     00</t>
  </si>
  <si>
    <t>AN  062896     00</t>
  </si>
  <si>
    <t>AN  062900     00</t>
  </si>
  <si>
    <t>AN  062905     00</t>
  </si>
  <si>
    <t>AN  062909     00</t>
  </si>
  <si>
    <t>AN  062918     00</t>
  </si>
  <si>
    <t>AN  062925     00</t>
  </si>
  <si>
    <t>AN  062928     00</t>
  </si>
  <si>
    <t>AN  062949     00</t>
  </si>
  <si>
    <t>AS  062886     00</t>
  </si>
  <si>
    <t>AS  062920     00</t>
  </si>
  <si>
    <t>AF  062866     00</t>
  </si>
  <si>
    <t>AN  062814     00</t>
  </si>
  <si>
    <t>AN  062817     00</t>
  </si>
  <si>
    <t>AN  062819     00</t>
  </si>
  <si>
    <t>AN  062827     00</t>
  </si>
  <si>
    <t>AN  062830     00</t>
  </si>
  <si>
    <t>AN  062838     00</t>
  </si>
  <si>
    <t>AN  062852     00</t>
  </si>
  <si>
    <t>AN  062856     00</t>
  </si>
  <si>
    <t>AN  062858     00</t>
  </si>
  <si>
    <t>AN  062864     00</t>
  </si>
  <si>
    <t>AN  062872     00</t>
  </si>
  <si>
    <t>AN  062874     00</t>
  </si>
  <si>
    <t>AN  062881     00</t>
  </si>
  <si>
    <t>AN  062883     00</t>
  </si>
  <si>
    <t>AN  062889     00</t>
  </si>
  <si>
    <t>AN  062897     00</t>
  </si>
  <si>
    <t>AN  062899     00</t>
  </si>
  <si>
    <t>AN  062912     00</t>
  </si>
  <si>
    <t>AN  062919     00</t>
  </si>
  <si>
    <t>AN  062921     00</t>
  </si>
  <si>
    <t>AN  062922     00</t>
  </si>
  <si>
    <t>AN  062930     00</t>
  </si>
  <si>
    <t>AN  062932     00</t>
  </si>
  <si>
    <t>AN  062933     00</t>
  </si>
  <si>
    <t>EIFFAGE ENERGIES SYSTEMES CLEMESSY</t>
  </si>
  <si>
    <t>AN  062935     00</t>
  </si>
  <si>
    <t>AN  062940     00</t>
  </si>
  <si>
    <t>AN  062942     00</t>
  </si>
  <si>
    <t>FERMIERS DU GERS (GASTRONOME)</t>
  </si>
  <si>
    <t>AN  062944     00</t>
  </si>
  <si>
    <t>AN  062945     00</t>
  </si>
  <si>
    <t>AN  062946     00</t>
  </si>
  <si>
    <t>AR  062372     00</t>
  </si>
  <si>
    <t>AN  062813     00</t>
  </si>
  <si>
    <t>AN  062816     00</t>
  </si>
  <si>
    <t>AN  062820     00</t>
  </si>
  <si>
    <t>AN  062822     00</t>
  </si>
  <si>
    <t>AN  062825     00</t>
  </si>
  <si>
    <t>AN  062832     00</t>
  </si>
  <si>
    <t>AN  062834     00</t>
  </si>
  <si>
    <t>AN  062835     00</t>
  </si>
  <si>
    <t>AN  062837     00</t>
  </si>
  <si>
    <t>AN  062841     00</t>
  </si>
  <si>
    <t>COREX BOARD ATLANTIC</t>
  </si>
  <si>
    <t>AN  062842     00</t>
  </si>
  <si>
    <t>AN  062846     00</t>
  </si>
  <si>
    <t>AN  062860     00</t>
  </si>
  <si>
    <t>AN  062862     00</t>
  </si>
  <si>
    <t>AN  062867     00</t>
  </si>
  <si>
    <t>TEM</t>
  </si>
  <si>
    <t>AN  062869     00</t>
  </si>
  <si>
    <t>SOCIETE DES EAUX MINÉRALES *</t>
  </si>
  <si>
    <t>AN  062873     00</t>
  </si>
  <si>
    <t>AN  062879     00</t>
  </si>
  <si>
    <t>AN  062880     00</t>
  </si>
  <si>
    <t>AN  062890     00</t>
  </si>
  <si>
    <t>AN  062893     00</t>
  </si>
  <si>
    <t>SIGEDI</t>
  </si>
  <si>
    <t>AN  062898     00</t>
  </si>
  <si>
    <t>AN  062902     00</t>
  </si>
  <si>
    <t>RPVI</t>
  </si>
  <si>
    <t>AN  062913     00</t>
  </si>
  <si>
    <t>AN  062923     00</t>
  </si>
  <si>
    <t>AN  062924     00</t>
  </si>
  <si>
    <t>YARA FRANCE</t>
  </si>
  <si>
    <t>AN  062929     00</t>
  </si>
  <si>
    <t>AN  062931     00</t>
  </si>
  <si>
    <t>AN  062934     00</t>
  </si>
  <si>
    <t>AN  062938     00</t>
  </si>
  <si>
    <t>AF  062870     00</t>
  </si>
  <si>
    <t>AN  062809     00</t>
  </si>
  <si>
    <t>AN  062810     00</t>
  </si>
  <si>
    <t>LABORATOIRE DUCASTEL</t>
  </si>
  <si>
    <t>AN  062812     00</t>
  </si>
  <si>
    <t>AN  062815     00</t>
  </si>
  <si>
    <t>AN  062826     00</t>
  </si>
  <si>
    <t>AN  062839     00</t>
  </si>
  <si>
    <t>AN  062843     00</t>
  </si>
  <si>
    <t>AN  062861     00</t>
  </si>
  <si>
    <t>AN  062863     00</t>
  </si>
  <si>
    <t>AN  062868     00</t>
  </si>
  <si>
    <t>AN  062871     00</t>
  </si>
  <si>
    <t>AN  062876     00</t>
  </si>
  <si>
    <t>AN  062877     00</t>
  </si>
  <si>
    <t>AN  062882     00</t>
  </si>
  <si>
    <t>AN  062887     00</t>
  </si>
  <si>
    <t>AN  062891     00</t>
  </si>
  <si>
    <t>AN  062895     00</t>
  </si>
  <si>
    <t>EGELEC BOBINAGE</t>
  </si>
  <si>
    <t>AN  062906     00</t>
  </si>
  <si>
    <t>AN  062907     00</t>
  </si>
  <si>
    <t>AN  062908     00</t>
  </si>
  <si>
    <t>AN  062910     00</t>
  </si>
  <si>
    <t>AN  062911     00</t>
  </si>
  <si>
    <t>AN  062917     00</t>
  </si>
  <si>
    <t>AN  062926     00</t>
  </si>
  <si>
    <t>AN  062927     00</t>
  </si>
  <si>
    <t>AN  062937     00</t>
  </si>
  <si>
    <t>AN  062943     00</t>
  </si>
  <si>
    <t>AN  062947     00</t>
  </si>
  <si>
    <t>AN  062948     00</t>
  </si>
  <si>
    <t>12</t>
  </si>
  <si>
    <t>AN  062982     00</t>
  </si>
  <si>
    <t>AN  062987     00</t>
  </si>
  <si>
    <t>AN  063017     00</t>
  </si>
  <si>
    <t>SEABG</t>
  </si>
  <si>
    <t>AN  062967     00</t>
  </si>
  <si>
    <t>AN  062956     00</t>
  </si>
  <si>
    <t>AN  062960     00</t>
  </si>
  <si>
    <t>AN  062970     00</t>
  </si>
  <si>
    <t>AN  062978     00</t>
  </si>
  <si>
    <t>AN  062983     00</t>
  </si>
  <si>
    <t>AN  063018     00</t>
  </si>
  <si>
    <t>ZUEGG SPA FRANCE</t>
  </si>
  <si>
    <t>AN  063023     00</t>
  </si>
  <si>
    <t>AR  063002     00</t>
  </si>
  <si>
    <t>AN  062950     00</t>
  </si>
  <si>
    <t>AN  062951     00</t>
  </si>
  <si>
    <t>OULES</t>
  </si>
  <si>
    <t>AN  062952     00</t>
  </si>
  <si>
    <t>AN  062961     00</t>
  </si>
  <si>
    <t>AN  062963     00</t>
  </si>
  <si>
    <t>AN  062966     00</t>
  </si>
  <si>
    <t>AN  062977     00</t>
  </si>
  <si>
    <t>AN  062979     00</t>
  </si>
  <si>
    <t>AN  062988     00</t>
  </si>
  <si>
    <t>AN  062990     00</t>
  </si>
  <si>
    <t>AN  062994     00</t>
  </si>
  <si>
    <t>AN  062997     00</t>
  </si>
  <si>
    <t>AN  063001     00</t>
  </si>
  <si>
    <t>AN  063003     00</t>
  </si>
  <si>
    <t>MONDELEZ FRANCE BISCUITS PRODUCTION</t>
  </si>
  <si>
    <t>AN  063010     00</t>
  </si>
  <si>
    <t>AN  063011     00</t>
  </si>
  <si>
    <t>AN  063012     00</t>
  </si>
  <si>
    <t>AN  063022     00</t>
  </si>
  <si>
    <t>AN  063024     00</t>
  </si>
  <si>
    <t>AN  063025     00</t>
  </si>
  <si>
    <t>AN  062954     00</t>
  </si>
  <si>
    <t>AN  062955     00</t>
  </si>
  <si>
    <t>AN  062957     00</t>
  </si>
  <si>
    <t>AN  062959     00</t>
  </si>
  <si>
    <t>AN  062971     00</t>
  </si>
  <si>
    <t>AN  062972     00</t>
  </si>
  <si>
    <t>AN  062973     00</t>
  </si>
  <si>
    <t>AN  062975     00</t>
  </si>
  <si>
    <t>TANNERIE REMY CARRIAT</t>
  </si>
  <si>
    <t>AN  062981     00</t>
  </si>
  <si>
    <t>AN  062986     00</t>
  </si>
  <si>
    <t>CUMA ADOUR PROTEOIL</t>
  </si>
  <si>
    <t>AN  062989     00</t>
  </si>
  <si>
    <t>AN  062998     00</t>
  </si>
  <si>
    <t>AN  062999     00</t>
  </si>
  <si>
    <t>AN  063004     00</t>
  </si>
  <si>
    <t>AN  063008     00</t>
  </si>
  <si>
    <t>AN  063009     00</t>
  </si>
  <si>
    <t>AN  063015     00</t>
  </si>
  <si>
    <t>AN  063019     00</t>
  </si>
  <si>
    <t>AN  063028     00</t>
  </si>
  <si>
    <t>AN  062953     00</t>
  </si>
  <si>
    <t>AN  062968     00</t>
  </si>
  <si>
    <t>AN  062969     00</t>
  </si>
  <si>
    <t>THALAZUR ARCACHON</t>
  </si>
  <si>
    <t>AN  062976     00</t>
  </si>
  <si>
    <t>AN  062980     00</t>
  </si>
  <si>
    <t>AN  062995     00</t>
  </si>
  <si>
    <t>AN  063005     00</t>
  </si>
  <si>
    <t>AN  063006     00</t>
  </si>
  <si>
    <t>ACM SA</t>
  </si>
  <si>
    <t>AN  063013     00</t>
  </si>
  <si>
    <t>FRANCOIS MARTENOT</t>
  </si>
  <si>
    <t>AN  063014     00</t>
  </si>
  <si>
    <t>AN  063021     00</t>
  </si>
  <si>
    <t>AN  063030     00</t>
  </si>
  <si>
    <t>AR  062750     00</t>
  </si>
  <si>
    <t>AF  062992     00</t>
  </si>
  <si>
    <t>AN  062962     00</t>
  </si>
  <si>
    <t>AN  062964     00</t>
  </si>
  <si>
    <t>FAGE BOBINAGE</t>
  </si>
  <si>
    <t>AN  062965     00</t>
  </si>
  <si>
    <t>AN  062974     00</t>
  </si>
  <si>
    <t>AN  062993     00</t>
  </si>
  <si>
    <t>AN  062996     00</t>
  </si>
  <si>
    <t>AN  063000     00</t>
  </si>
  <si>
    <t>AN  063007     00</t>
  </si>
  <si>
    <t>AN  063016     00</t>
  </si>
  <si>
    <t>AN  063020     00</t>
  </si>
  <si>
    <t>AN  063026     00</t>
  </si>
  <si>
    <t>AN  063031     00</t>
  </si>
  <si>
    <t>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</si>
</sst>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#,##0.00;\-#,##0.00;\ ;"/>
  </numFmts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6"/>
  <sheetViews>
    <sheetView tabSelected="1" topLeftCell="A1930" workbookViewId="0">
      <selection activeCell="H2" sqref="H2:H1966"/>
    </sheetView>
  </sheetViews>
  <sheetFormatPr baseColWidth="10" defaultRowHeight="15" x14ac:dyDescent="0.25"/>
  <cols>
    <col min="1" max="1" width="6.7109375" customWidth="1"/>
    <col min="2" max="2" width="5.7109375" customWidth="1"/>
    <col min="3" max="3" width="26.7109375" customWidth="1"/>
    <col min="4" max="4" width="18.7109375" customWidth="1"/>
    <col min="5" max="5" width="13.7109375" customWidth="1"/>
    <col min="6" max="6" width="36.7109375" customWidth="1"/>
    <col min="7" max="7" width="14.7109375" customWidth="1"/>
    <col min="8" max="8" width="13.7109375" customWidth="1"/>
    <col min="9" max="9" width="10.7109375" customWidth="1"/>
    <col min="10" max="10" width="11.7109375" customWidth="1"/>
    <col min="11" max="11" width="13.7109375" customWidth="1"/>
    <col min="12" max="12" width="9.7109375" customWidth="1"/>
    <col min="13" max="14" width="10.7109375" customWidth="1"/>
    <col min="15" max="15" width="13.7109375" customWidth="1"/>
    <col min="16" max="16" width="8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f>45664</f>
        <v>45664</v>
      </c>
      <c r="H2" t="s">
        <v>2422</v>
      </c>
      <c r="I2" s="2">
        <v>4089</v>
      </c>
      <c r="J2" s="2">
        <v>2599.11</v>
      </c>
      <c r="K2" s="2">
        <v>1489.89</v>
      </c>
      <c r="L2" s="2">
        <v>36.44</v>
      </c>
      <c r="M2" s="2">
        <v>4089</v>
      </c>
      <c r="N2" s="2">
        <v>2599.11</v>
      </c>
      <c r="O2" s="2">
        <v>1454.89</v>
      </c>
      <c r="P2" s="2">
        <v>36.44</v>
      </c>
    </row>
    <row r="3" spans="1:16" x14ac:dyDescent="0.25">
      <c r="A3" t="s">
        <v>15</v>
      </c>
      <c r="B3" t="s">
        <v>16</v>
      </c>
      <c r="C3" t="s">
        <v>17</v>
      </c>
      <c r="D3" t="s">
        <v>21</v>
      </c>
      <c r="E3" t="s">
        <v>19</v>
      </c>
      <c r="F3" t="s">
        <v>20</v>
      </c>
      <c r="G3" s="1">
        <f>45665</f>
        <v>45665</v>
      </c>
      <c r="H3" t="s">
        <v>2422</v>
      </c>
      <c r="I3" s="2">
        <v>274.23</v>
      </c>
      <c r="J3" s="2">
        <v>162.97999999999999</v>
      </c>
      <c r="K3" s="2">
        <v>111.25</v>
      </c>
      <c r="L3" s="2">
        <v>40.57</v>
      </c>
      <c r="M3" s="2">
        <v>274.23</v>
      </c>
      <c r="N3" s="2">
        <v>162.97999999999999</v>
      </c>
      <c r="O3" s="2">
        <v>101.25</v>
      </c>
      <c r="P3" s="2">
        <v>40.57</v>
      </c>
    </row>
    <row r="4" spans="1:16" x14ac:dyDescent="0.25">
      <c r="A4" t="s">
        <v>15</v>
      </c>
      <c r="B4" t="s">
        <v>16</v>
      </c>
      <c r="C4" t="s">
        <v>17</v>
      </c>
      <c r="D4" t="s">
        <v>22</v>
      </c>
      <c r="E4" t="s">
        <v>19</v>
      </c>
      <c r="F4" t="s">
        <v>23</v>
      </c>
      <c r="G4" s="1">
        <f>45665</f>
        <v>45665</v>
      </c>
      <c r="H4" t="s">
        <v>2422</v>
      </c>
      <c r="I4" s="2">
        <v>1178.25</v>
      </c>
      <c r="J4" s="2">
        <v>782.28</v>
      </c>
      <c r="K4" s="2">
        <v>395.97</v>
      </c>
      <c r="L4" s="2">
        <v>33.61</v>
      </c>
      <c r="M4" s="2">
        <v>1178.25</v>
      </c>
      <c r="N4" s="2">
        <v>782.28</v>
      </c>
      <c r="O4" s="2">
        <v>337.97</v>
      </c>
      <c r="P4" s="2">
        <v>33.61</v>
      </c>
    </row>
    <row r="5" spans="1:16" x14ac:dyDescent="0.25">
      <c r="A5" t="s">
        <v>15</v>
      </c>
      <c r="B5" t="s">
        <v>16</v>
      </c>
      <c r="C5" t="s">
        <v>17</v>
      </c>
      <c r="D5" t="s">
        <v>24</v>
      </c>
      <c r="E5" t="s">
        <v>19</v>
      </c>
      <c r="F5" t="s">
        <v>20</v>
      </c>
      <c r="G5" s="1">
        <f>45666</f>
        <v>45666</v>
      </c>
      <c r="H5" t="s">
        <v>2422</v>
      </c>
      <c r="I5" s="2">
        <v>1086.56</v>
      </c>
      <c r="J5" s="2">
        <v>702.61</v>
      </c>
      <c r="K5" s="2">
        <v>383.95</v>
      </c>
      <c r="L5" s="2">
        <v>35.340000000000003</v>
      </c>
      <c r="M5" s="2">
        <v>1086.56</v>
      </c>
      <c r="N5" s="2">
        <v>702.61</v>
      </c>
      <c r="O5" s="2">
        <v>353.34</v>
      </c>
      <c r="P5" s="2">
        <v>35.340000000000003</v>
      </c>
    </row>
    <row r="6" spans="1:16" x14ac:dyDescent="0.25">
      <c r="A6" t="s">
        <v>15</v>
      </c>
      <c r="B6" t="s">
        <v>16</v>
      </c>
      <c r="C6" t="s">
        <v>17</v>
      </c>
      <c r="D6" t="s">
        <v>25</v>
      </c>
      <c r="E6" t="s">
        <v>19</v>
      </c>
      <c r="F6" t="s">
        <v>26</v>
      </c>
      <c r="G6" s="1">
        <f>45671</f>
        <v>45671</v>
      </c>
      <c r="H6" t="s">
        <v>2422</v>
      </c>
      <c r="I6" s="2">
        <v>488</v>
      </c>
      <c r="J6" s="2">
        <v>282</v>
      </c>
      <c r="K6" s="2">
        <v>206</v>
      </c>
      <c r="L6" s="2">
        <v>42.21</v>
      </c>
      <c r="M6" s="2">
        <v>488</v>
      </c>
      <c r="N6" s="2">
        <v>282</v>
      </c>
      <c r="O6" s="2">
        <v>197</v>
      </c>
      <c r="P6" s="2">
        <v>42.21</v>
      </c>
    </row>
    <row r="7" spans="1:16" x14ac:dyDescent="0.25">
      <c r="A7" t="s">
        <v>15</v>
      </c>
      <c r="B7" t="s">
        <v>16</v>
      </c>
      <c r="C7" t="s">
        <v>17</v>
      </c>
      <c r="D7" t="s">
        <v>27</v>
      </c>
      <c r="E7" t="s">
        <v>19</v>
      </c>
      <c r="F7" t="s">
        <v>28</v>
      </c>
      <c r="G7" s="1">
        <f>45672</f>
        <v>45672</v>
      </c>
      <c r="H7" t="s">
        <v>2422</v>
      </c>
      <c r="I7" s="2">
        <v>1407.42</v>
      </c>
      <c r="J7" s="2">
        <v>840.04</v>
      </c>
      <c r="K7" s="2">
        <v>567.38</v>
      </c>
      <c r="L7" s="2">
        <v>40.31</v>
      </c>
      <c r="M7" s="2">
        <v>1407.42</v>
      </c>
      <c r="N7" s="2">
        <v>840.04</v>
      </c>
      <c r="O7" s="2">
        <v>497.38</v>
      </c>
      <c r="P7" s="2">
        <v>40.31</v>
      </c>
    </row>
    <row r="8" spans="1:16" x14ac:dyDescent="0.25">
      <c r="A8" t="s">
        <v>15</v>
      </c>
      <c r="B8" t="s">
        <v>16</v>
      </c>
      <c r="C8" t="s">
        <v>17</v>
      </c>
      <c r="D8" t="s">
        <v>29</v>
      </c>
      <c r="E8" t="s">
        <v>19</v>
      </c>
      <c r="F8" t="s">
        <v>20</v>
      </c>
      <c r="G8" s="1">
        <f>45673</f>
        <v>45673</v>
      </c>
      <c r="H8" t="s">
        <v>2422</v>
      </c>
      <c r="I8" s="2">
        <v>3085.6</v>
      </c>
      <c r="J8" s="2">
        <v>1832.56</v>
      </c>
      <c r="K8" s="2">
        <v>1253.04</v>
      </c>
      <c r="L8" s="2">
        <v>40.61</v>
      </c>
      <c r="M8" s="2">
        <v>3085.6</v>
      </c>
      <c r="N8" s="2">
        <v>1832.56</v>
      </c>
      <c r="O8" s="2">
        <v>1189.04</v>
      </c>
      <c r="P8" s="2">
        <v>40.61</v>
      </c>
    </row>
    <row r="9" spans="1:16" x14ac:dyDescent="0.25">
      <c r="A9" t="s">
        <v>15</v>
      </c>
      <c r="B9" t="s">
        <v>16</v>
      </c>
      <c r="C9" t="s">
        <v>17</v>
      </c>
      <c r="D9" t="s">
        <v>30</v>
      </c>
      <c r="E9" t="s">
        <v>19</v>
      </c>
      <c r="F9" t="s">
        <v>31</v>
      </c>
      <c r="G9" s="1">
        <f>45677</f>
        <v>45677</v>
      </c>
      <c r="H9" t="s">
        <v>2422</v>
      </c>
      <c r="I9" s="2">
        <v>100.58</v>
      </c>
      <c r="J9" s="2">
        <v>30.43</v>
      </c>
      <c r="K9" s="2">
        <v>70.150000000000006</v>
      </c>
      <c r="L9" s="2">
        <v>69.739999999999995</v>
      </c>
      <c r="M9" s="2">
        <v>100.58</v>
      </c>
      <c r="N9" s="2">
        <v>30.43</v>
      </c>
      <c r="O9" s="2">
        <v>61.15</v>
      </c>
      <c r="P9" s="2">
        <v>69.739999999999995</v>
      </c>
    </row>
    <row r="10" spans="1:16" x14ac:dyDescent="0.25">
      <c r="A10" t="s">
        <v>15</v>
      </c>
      <c r="B10" t="s">
        <v>16</v>
      </c>
      <c r="C10" t="s">
        <v>17</v>
      </c>
      <c r="D10" t="s">
        <v>32</v>
      </c>
      <c r="E10" t="s">
        <v>19</v>
      </c>
      <c r="F10" t="s">
        <v>33</v>
      </c>
      <c r="G10" s="1">
        <f>45677</f>
        <v>45677</v>
      </c>
      <c r="H10" t="s">
        <v>2422</v>
      </c>
      <c r="I10" s="2">
        <v>1373.2</v>
      </c>
      <c r="J10" s="2">
        <v>986.36</v>
      </c>
      <c r="K10" s="2">
        <v>386.84</v>
      </c>
      <c r="L10" s="2">
        <v>28.17</v>
      </c>
      <c r="M10" s="2">
        <v>1373.2</v>
      </c>
      <c r="N10" s="2">
        <v>986.36</v>
      </c>
      <c r="O10" s="2">
        <v>297.83999999999997</v>
      </c>
      <c r="P10" s="2">
        <v>28.17</v>
      </c>
    </row>
    <row r="11" spans="1:16" x14ac:dyDescent="0.25">
      <c r="A11" t="s">
        <v>15</v>
      </c>
      <c r="B11" t="s">
        <v>16</v>
      </c>
      <c r="C11" t="s">
        <v>17</v>
      </c>
      <c r="D11" t="s">
        <v>34</v>
      </c>
      <c r="E11" t="s">
        <v>19</v>
      </c>
      <c r="F11" t="s">
        <v>35</v>
      </c>
      <c r="G11" s="1">
        <f>45678</f>
        <v>45678</v>
      </c>
      <c r="H11" t="s">
        <v>2422</v>
      </c>
      <c r="I11" s="2">
        <v>259.5</v>
      </c>
      <c r="J11" s="2">
        <v>170.5</v>
      </c>
      <c r="K11" s="2">
        <v>89</v>
      </c>
      <c r="L11" s="2">
        <v>34.299999999999997</v>
      </c>
      <c r="M11" s="2">
        <v>259.5</v>
      </c>
      <c r="N11" s="2">
        <v>170.5</v>
      </c>
      <c r="O11" s="2">
        <v>80</v>
      </c>
      <c r="P11" s="2">
        <v>34.299999999999997</v>
      </c>
    </row>
    <row r="12" spans="1:16" x14ac:dyDescent="0.25">
      <c r="A12" t="s">
        <v>15</v>
      </c>
      <c r="B12" t="s">
        <v>16</v>
      </c>
      <c r="C12" t="s">
        <v>17</v>
      </c>
      <c r="D12" t="s">
        <v>36</v>
      </c>
      <c r="E12" t="s">
        <v>19</v>
      </c>
      <c r="F12" t="s">
        <v>37</v>
      </c>
      <c r="G12" s="1">
        <f>45679</f>
        <v>45679</v>
      </c>
      <c r="H12" t="s">
        <v>2422</v>
      </c>
      <c r="I12" s="2">
        <v>341.49</v>
      </c>
      <c r="J12" s="2">
        <v>139</v>
      </c>
      <c r="K12" s="2">
        <v>202.49</v>
      </c>
      <c r="L12" s="2">
        <v>59.3</v>
      </c>
      <c r="M12" s="2">
        <v>22</v>
      </c>
      <c r="N12" s="2">
        <v>139</v>
      </c>
      <c r="O12" s="2">
        <v>-126</v>
      </c>
      <c r="P12" s="2">
        <v>-531.82000000000005</v>
      </c>
    </row>
    <row r="13" spans="1:16" x14ac:dyDescent="0.25">
      <c r="A13" t="s">
        <v>15</v>
      </c>
      <c r="B13" t="s">
        <v>16</v>
      </c>
      <c r="C13" t="s">
        <v>17</v>
      </c>
      <c r="D13" t="s">
        <v>38</v>
      </c>
      <c r="E13" t="s">
        <v>19</v>
      </c>
      <c r="F13" t="s">
        <v>39</v>
      </c>
      <c r="G13" s="1">
        <f>45684</f>
        <v>45684</v>
      </c>
      <c r="H13" t="s">
        <v>2422</v>
      </c>
      <c r="I13" s="2">
        <v>1534</v>
      </c>
      <c r="J13" s="2">
        <v>1092</v>
      </c>
      <c r="K13" s="2">
        <v>442</v>
      </c>
      <c r="L13" s="2">
        <v>28.81</v>
      </c>
      <c r="M13" s="2">
        <v>1534</v>
      </c>
      <c r="N13" s="2">
        <v>1092</v>
      </c>
      <c r="O13" s="2">
        <v>412</v>
      </c>
      <c r="P13" s="2">
        <v>28.81</v>
      </c>
    </row>
    <row r="14" spans="1:16" x14ac:dyDescent="0.25">
      <c r="A14" t="s">
        <v>15</v>
      </c>
      <c r="B14" t="s">
        <v>16</v>
      </c>
      <c r="C14" t="s">
        <v>17</v>
      </c>
      <c r="D14" t="s">
        <v>40</v>
      </c>
      <c r="E14" t="s">
        <v>19</v>
      </c>
      <c r="F14" t="s">
        <v>26</v>
      </c>
      <c r="G14" s="1">
        <f>45686</f>
        <v>45686</v>
      </c>
      <c r="H14" t="s">
        <v>2422</v>
      </c>
      <c r="I14" s="2">
        <v>463.5</v>
      </c>
      <c r="J14" s="2">
        <v>317.91000000000003</v>
      </c>
      <c r="K14" s="2">
        <v>145.59</v>
      </c>
      <c r="L14" s="2">
        <v>31.41</v>
      </c>
      <c r="M14" s="2">
        <v>463.5</v>
      </c>
      <c r="N14" s="2">
        <v>317.91000000000003</v>
      </c>
      <c r="O14" s="2">
        <v>109.59</v>
      </c>
      <c r="P14" s="2">
        <v>31.41</v>
      </c>
    </row>
    <row r="15" spans="1:16" x14ac:dyDescent="0.25">
      <c r="A15" t="s">
        <v>15</v>
      </c>
      <c r="B15" t="s">
        <v>16</v>
      </c>
      <c r="C15" t="s">
        <v>17</v>
      </c>
      <c r="D15" t="s">
        <v>41</v>
      </c>
      <c r="E15" t="s">
        <v>19</v>
      </c>
      <c r="F15" t="s">
        <v>35</v>
      </c>
      <c r="G15" s="1">
        <f>45688</f>
        <v>45688</v>
      </c>
      <c r="H15" t="s">
        <v>2422</v>
      </c>
      <c r="I15" s="2">
        <v>356.8</v>
      </c>
      <c r="J15" s="2">
        <v>227.53</v>
      </c>
      <c r="K15" s="2">
        <v>129.27000000000001</v>
      </c>
      <c r="L15" s="2">
        <v>36.229999999999997</v>
      </c>
      <c r="M15" s="2">
        <v>356.8</v>
      </c>
      <c r="N15" s="2">
        <v>232.08</v>
      </c>
      <c r="O15" s="2">
        <v>120.26</v>
      </c>
      <c r="P15" s="2">
        <v>34.96</v>
      </c>
    </row>
    <row r="16" spans="1:16" x14ac:dyDescent="0.25">
      <c r="A16" t="s">
        <v>15</v>
      </c>
      <c r="B16" t="s">
        <v>16</v>
      </c>
      <c r="C16" t="s">
        <v>42</v>
      </c>
      <c r="D16" t="s">
        <v>43</v>
      </c>
      <c r="E16" t="s">
        <v>19</v>
      </c>
      <c r="F16" t="s">
        <v>44</v>
      </c>
      <c r="G16" s="1">
        <f>45663</f>
        <v>45663</v>
      </c>
      <c r="H16" t="s">
        <v>2422</v>
      </c>
      <c r="I16" s="2">
        <v>2508</v>
      </c>
      <c r="J16" s="2">
        <v>1387.98</v>
      </c>
      <c r="K16" s="2">
        <v>1120.02</v>
      </c>
      <c r="L16" s="2">
        <v>44.66</v>
      </c>
      <c r="M16" s="2">
        <v>2508</v>
      </c>
      <c r="N16" s="2">
        <v>522</v>
      </c>
      <c r="O16" s="2">
        <v>1976</v>
      </c>
      <c r="P16" s="2">
        <v>79.19</v>
      </c>
    </row>
    <row r="17" spans="1:16" x14ac:dyDescent="0.25">
      <c r="A17" t="s">
        <v>15</v>
      </c>
      <c r="B17" t="s">
        <v>16</v>
      </c>
      <c r="C17" t="s">
        <v>42</v>
      </c>
      <c r="D17" t="s">
        <v>45</v>
      </c>
      <c r="E17" t="s">
        <v>19</v>
      </c>
      <c r="F17" t="s">
        <v>44</v>
      </c>
      <c r="G17" s="1">
        <f>45663</f>
        <v>45663</v>
      </c>
      <c r="H17" t="s">
        <v>2422</v>
      </c>
      <c r="I17" s="2">
        <v>3502</v>
      </c>
      <c r="J17" s="2">
        <v>1922.47</v>
      </c>
      <c r="K17" s="2">
        <v>1579.53</v>
      </c>
      <c r="L17" s="2">
        <v>45.1</v>
      </c>
      <c r="M17" s="2">
        <v>3502</v>
      </c>
      <c r="N17" s="2">
        <v>655</v>
      </c>
      <c r="O17" s="2">
        <v>2832</v>
      </c>
      <c r="P17" s="2">
        <v>81.3</v>
      </c>
    </row>
    <row r="18" spans="1:16" x14ac:dyDescent="0.25">
      <c r="A18" t="s">
        <v>15</v>
      </c>
      <c r="B18" t="s">
        <v>16</v>
      </c>
      <c r="C18" t="s">
        <v>42</v>
      </c>
      <c r="D18" t="s">
        <v>46</v>
      </c>
      <c r="E18" t="s">
        <v>47</v>
      </c>
      <c r="F18" t="s">
        <v>48</v>
      </c>
      <c r="G18" s="1">
        <f>45685</f>
        <v>45685</v>
      </c>
      <c r="H18" t="s">
        <v>2422</v>
      </c>
      <c r="I18" s="2">
        <v>1097.8</v>
      </c>
      <c r="J18" s="2">
        <v>1027.98</v>
      </c>
      <c r="K18" s="2">
        <v>69.819999999999993</v>
      </c>
      <c r="L18" s="2">
        <v>6.36</v>
      </c>
      <c r="M18" s="2">
        <v>0</v>
      </c>
      <c r="N18" s="2">
        <v>840</v>
      </c>
      <c r="O18" s="2">
        <v>0</v>
      </c>
      <c r="P18" s="2">
        <v>0</v>
      </c>
    </row>
    <row r="19" spans="1:16" x14ac:dyDescent="0.25">
      <c r="A19" t="s">
        <v>15</v>
      </c>
      <c r="B19" t="s">
        <v>16</v>
      </c>
      <c r="C19" t="s">
        <v>17</v>
      </c>
      <c r="D19" t="s">
        <v>49</v>
      </c>
      <c r="E19" t="s">
        <v>19</v>
      </c>
      <c r="F19" t="s">
        <v>50</v>
      </c>
      <c r="G19" s="1">
        <f>45685</f>
        <v>45685</v>
      </c>
      <c r="H19" t="s">
        <v>51</v>
      </c>
      <c r="I19" s="2">
        <v>7054.21</v>
      </c>
      <c r="J19" s="2">
        <v>5414</v>
      </c>
      <c r="K19" s="2">
        <v>1640.21</v>
      </c>
      <c r="L19" s="2">
        <v>23.25</v>
      </c>
      <c r="M19" s="2">
        <v>7054.21</v>
      </c>
      <c r="N19" s="2">
        <v>5414</v>
      </c>
      <c r="O19" s="2">
        <v>1587.21</v>
      </c>
      <c r="P19" s="2">
        <v>23.25</v>
      </c>
    </row>
    <row r="20" spans="1:16" x14ac:dyDescent="0.25">
      <c r="A20" t="s">
        <v>15</v>
      </c>
      <c r="B20" t="s">
        <v>16</v>
      </c>
      <c r="C20" t="s">
        <v>17</v>
      </c>
      <c r="D20" t="s">
        <v>52</v>
      </c>
      <c r="E20" t="s">
        <v>19</v>
      </c>
      <c r="F20" t="s">
        <v>53</v>
      </c>
      <c r="G20" s="1">
        <f>45686</f>
        <v>45686</v>
      </c>
      <c r="H20" t="s">
        <v>51</v>
      </c>
      <c r="I20" s="2">
        <v>613.79999999999995</v>
      </c>
      <c r="J20" s="2">
        <v>404.65</v>
      </c>
      <c r="K20" s="2">
        <v>209.15</v>
      </c>
      <c r="L20" s="2">
        <v>34.07</v>
      </c>
      <c r="M20" s="2">
        <v>613.79999999999995</v>
      </c>
      <c r="N20" s="2">
        <v>404.63</v>
      </c>
      <c r="O20" s="2">
        <v>205.56</v>
      </c>
      <c r="P20" s="2">
        <v>34.08</v>
      </c>
    </row>
    <row r="21" spans="1:16" x14ac:dyDescent="0.25">
      <c r="A21" t="s">
        <v>15</v>
      </c>
      <c r="B21" t="s">
        <v>16</v>
      </c>
      <c r="C21" t="s">
        <v>17</v>
      </c>
      <c r="D21" t="s">
        <v>54</v>
      </c>
      <c r="E21" t="s">
        <v>19</v>
      </c>
      <c r="F21" t="s">
        <v>55</v>
      </c>
      <c r="G21" s="1">
        <f>45687</f>
        <v>45687</v>
      </c>
      <c r="H21" t="s">
        <v>56</v>
      </c>
      <c r="I21" s="2">
        <v>24500</v>
      </c>
      <c r="J21" s="2">
        <v>18074.86</v>
      </c>
      <c r="K21" s="2">
        <v>6425.14</v>
      </c>
      <c r="L21" s="2">
        <v>26.23</v>
      </c>
      <c r="M21" s="2">
        <v>24500</v>
      </c>
      <c r="N21" s="2">
        <v>18074.86</v>
      </c>
      <c r="O21" s="2">
        <v>6263.92</v>
      </c>
      <c r="P21" s="2">
        <v>26.23</v>
      </c>
    </row>
    <row r="22" spans="1:16" x14ac:dyDescent="0.25">
      <c r="A22" t="s">
        <v>15</v>
      </c>
      <c r="B22" t="s">
        <v>16</v>
      </c>
      <c r="C22" t="s">
        <v>17</v>
      </c>
      <c r="D22" t="s">
        <v>57</v>
      </c>
      <c r="E22" t="s">
        <v>19</v>
      </c>
      <c r="F22" t="s">
        <v>50</v>
      </c>
      <c r="G22" s="1">
        <f>45688</f>
        <v>45688</v>
      </c>
      <c r="H22" t="s">
        <v>51</v>
      </c>
      <c r="I22" s="2">
        <v>301.5</v>
      </c>
      <c r="J22" s="2">
        <v>196</v>
      </c>
      <c r="K22" s="2">
        <v>105.5</v>
      </c>
      <c r="L22" s="2">
        <v>34.99</v>
      </c>
      <c r="M22" s="2">
        <v>301.5</v>
      </c>
      <c r="N22" s="2">
        <v>196</v>
      </c>
      <c r="O22" s="2">
        <v>105.5</v>
      </c>
      <c r="P22" s="2">
        <v>34.99</v>
      </c>
    </row>
    <row r="23" spans="1:16" x14ac:dyDescent="0.25">
      <c r="A23" t="s">
        <v>15</v>
      </c>
      <c r="B23" t="s">
        <v>16</v>
      </c>
      <c r="C23" t="s">
        <v>58</v>
      </c>
      <c r="D23" t="s">
        <v>59</v>
      </c>
      <c r="E23" t="s">
        <v>19</v>
      </c>
      <c r="F23" t="s">
        <v>60</v>
      </c>
      <c r="G23" s="1">
        <f>45667</f>
        <v>45667</v>
      </c>
      <c r="H23" t="s">
        <v>56</v>
      </c>
      <c r="I23" s="2">
        <v>1982.2</v>
      </c>
      <c r="J23" s="2">
        <v>1253.3499999999999</v>
      </c>
      <c r="K23" s="2">
        <v>728.85</v>
      </c>
      <c r="L23" s="2">
        <v>36.770000000000003</v>
      </c>
      <c r="M23" s="2">
        <v>1982.2</v>
      </c>
      <c r="N23" s="2">
        <v>1253.3499999999999</v>
      </c>
      <c r="O23" s="2">
        <v>728.85</v>
      </c>
      <c r="P23" s="2">
        <v>36.770000000000003</v>
      </c>
    </row>
    <row r="24" spans="1:16" x14ac:dyDescent="0.25">
      <c r="A24" t="s">
        <v>15</v>
      </c>
      <c r="B24" t="s">
        <v>16</v>
      </c>
      <c r="C24" t="s">
        <v>58</v>
      </c>
      <c r="D24" t="s">
        <v>61</v>
      </c>
      <c r="E24" t="s">
        <v>19</v>
      </c>
      <c r="F24" t="s">
        <v>62</v>
      </c>
      <c r="G24" s="1">
        <f>45659</f>
        <v>45659</v>
      </c>
      <c r="H24" t="s">
        <v>56</v>
      </c>
      <c r="I24" s="2">
        <v>262</v>
      </c>
      <c r="J24" s="2">
        <v>149</v>
      </c>
      <c r="K24" s="2">
        <v>113</v>
      </c>
      <c r="L24" s="2">
        <v>43.13</v>
      </c>
      <c r="M24" s="2">
        <v>262</v>
      </c>
      <c r="N24" s="2">
        <v>149</v>
      </c>
      <c r="O24" s="2">
        <v>88</v>
      </c>
      <c r="P24" s="2">
        <v>43.13</v>
      </c>
    </row>
    <row r="25" spans="1:16" x14ac:dyDescent="0.25">
      <c r="A25" t="s">
        <v>15</v>
      </c>
      <c r="B25" t="s">
        <v>16</v>
      </c>
      <c r="C25" t="s">
        <v>58</v>
      </c>
      <c r="D25" t="s">
        <v>63</v>
      </c>
      <c r="E25" t="s">
        <v>19</v>
      </c>
      <c r="F25" t="s">
        <v>64</v>
      </c>
      <c r="G25" s="1">
        <f>45660</f>
        <v>45660</v>
      </c>
      <c r="H25" t="s">
        <v>56</v>
      </c>
      <c r="I25" s="2">
        <v>718.69</v>
      </c>
      <c r="J25" s="2">
        <v>528.24</v>
      </c>
      <c r="K25" s="2">
        <v>190.45</v>
      </c>
      <c r="L25" s="2">
        <v>26.5</v>
      </c>
      <c r="M25" s="2">
        <v>718.69</v>
      </c>
      <c r="N25" s="2">
        <v>517.46</v>
      </c>
      <c r="O25" s="2">
        <v>201.23</v>
      </c>
      <c r="P25" s="2">
        <v>28</v>
      </c>
    </row>
    <row r="26" spans="1:16" x14ac:dyDescent="0.25">
      <c r="A26" t="s">
        <v>15</v>
      </c>
      <c r="B26" t="s">
        <v>16</v>
      </c>
      <c r="C26" t="s">
        <v>58</v>
      </c>
      <c r="D26" t="s">
        <v>65</v>
      </c>
      <c r="E26" t="s">
        <v>19</v>
      </c>
      <c r="F26" t="s">
        <v>60</v>
      </c>
      <c r="G26" s="1">
        <f>45659</f>
        <v>45659</v>
      </c>
      <c r="H26" t="s">
        <v>56</v>
      </c>
      <c r="I26" s="2">
        <v>668.98</v>
      </c>
      <c r="J26" s="2">
        <v>438.36</v>
      </c>
      <c r="K26" s="2">
        <v>230.62</v>
      </c>
      <c r="L26" s="2">
        <v>34.47</v>
      </c>
      <c r="M26" s="2">
        <v>668.98</v>
      </c>
      <c r="N26" s="2">
        <v>435.36</v>
      </c>
      <c r="O26" s="2">
        <v>194.06</v>
      </c>
      <c r="P26" s="2">
        <v>34.92</v>
      </c>
    </row>
    <row r="27" spans="1:16" x14ac:dyDescent="0.25">
      <c r="A27" t="s">
        <v>15</v>
      </c>
      <c r="B27" t="s">
        <v>16</v>
      </c>
      <c r="C27" t="s">
        <v>58</v>
      </c>
      <c r="D27" t="s">
        <v>66</v>
      </c>
      <c r="E27" t="s">
        <v>19</v>
      </c>
      <c r="F27" t="s">
        <v>67</v>
      </c>
      <c r="G27" s="1">
        <f>45660</f>
        <v>45660</v>
      </c>
      <c r="H27" t="s">
        <v>56</v>
      </c>
      <c r="I27" s="2">
        <v>242.24</v>
      </c>
      <c r="J27" s="2">
        <v>168.22</v>
      </c>
      <c r="K27" s="2">
        <v>74.02</v>
      </c>
      <c r="L27" s="2">
        <v>30.56</v>
      </c>
      <c r="M27" s="2">
        <v>242.24</v>
      </c>
      <c r="N27" s="2">
        <v>168.22</v>
      </c>
      <c r="O27" s="2">
        <v>65.02</v>
      </c>
      <c r="P27" s="2">
        <v>30.56</v>
      </c>
    </row>
    <row r="28" spans="1:16" x14ac:dyDescent="0.25">
      <c r="A28" t="s">
        <v>15</v>
      </c>
      <c r="B28" t="s">
        <v>16</v>
      </c>
      <c r="C28" t="s">
        <v>58</v>
      </c>
      <c r="D28" t="s">
        <v>68</v>
      </c>
      <c r="E28" t="s">
        <v>47</v>
      </c>
      <c r="F28" t="s">
        <v>69</v>
      </c>
      <c r="G28" s="1">
        <f>45663</f>
        <v>45663</v>
      </c>
      <c r="H28" t="s">
        <v>70</v>
      </c>
      <c r="I28" s="2">
        <v>0</v>
      </c>
      <c r="J28" s="2">
        <v>0</v>
      </c>
      <c r="K28" s="2">
        <v>0</v>
      </c>
      <c r="L28" s="2">
        <v>0</v>
      </c>
      <c r="M28" s="2">
        <v>97.24</v>
      </c>
      <c r="N28" s="2">
        <v>82.41</v>
      </c>
      <c r="O28" s="2">
        <v>14.83</v>
      </c>
      <c r="P28" s="2">
        <v>15.25</v>
      </c>
    </row>
    <row r="29" spans="1:16" x14ac:dyDescent="0.25">
      <c r="A29" t="s">
        <v>15</v>
      </c>
      <c r="B29" t="s">
        <v>16</v>
      </c>
      <c r="C29" t="s">
        <v>58</v>
      </c>
      <c r="D29" t="s">
        <v>71</v>
      </c>
      <c r="E29" t="s">
        <v>47</v>
      </c>
      <c r="F29" t="s">
        <v>69</v>
      </c>
      <c r="G29" s="1">
        <f>45664</f>
        <v>45664</v>
      </c>
      <c r="H29" t="s">
        <v>70</v>
      </c>
      <c r="I29" s="2">
        <v>0</v>
      </c>
      <c r="J29" s="2">
        <v>0</v>
      </c>
      <c r="K29" s="2">
        <v>0</v>
      </c>
      <c r="L29" s="2">
        <v>0</v>
      </c>
      <c r="M29" s="2">
        <v>635.08000000000004</v>
      </c>
      <c r="N29" s="2">
        <v>538.22</v>
      </c>
      <c r="O29" s="2">
        <v>96.86</v>
      </c>
      <c r="P29" s="2">
        <v>15.25</v>
      </c>
    </row>
    <row r="30" spans="1:16" x14ac:dyDescent="0.25">
      <c r="A30" t="s">
        <v>15</v>
      </c>
      <c r="B30" t="s">
        <v>16</v>
      </c>
      <c r="C30" t="s">
        <v>58</v>
      </c>
      <c r="D30" t="s">
        <v>72</v>
      </c>
      <c r="E30" t="s">
        <v>47</v>
      </c>
      <c r="F30" t="s">
        <v>73</v>
      </c>
      <c r="G30" s="1">
        <f>45664</f>
        <v>45664</v>
      </c>
      <c r="H30" t="s">
        <v>70</v>
      </c>
      <c r="I30" s="2">
        <v>0</v>
      </c>
      <c r="J30" s="2">
        <v>0</v>
      </c>
      <c r="K30" s="2">
        <v>0</v>
      </c>
      <c r="L30" s="2">
        <v>0</v>
      </c>
      <c r="M30" s="2">
        <v>30.36</v>
      </c>
      <c r="N30" s="2">
        <v>18.989999999999998</v>
      </c>
      <c r="O30" s="2">
        <v>11.37</v>
      </c>
      <c r="P30" s="2">
        <v>37.450000000000003</v>
      </c>
    </row>
    <row r="31" spans="1:16" x14ac:dyDescent="0.25">
      <c r="A31" t="s">
        <v>15</v>
      </c>
      <c r="B31" t="s">
        <v>16</v>
      </c>
      <c r="C31" t="s">
        <v>58</v>
      </c>
      <c r="D31" t="s">
        <v>74</v>
      </c>
      <c r="E31" t="s">
        <v>19</v>
      </c>
      <c r="F31" t="s">
        <v>75</v>
      </c>
      <c r="G31" s="1">
        <f>45664</f>
        <v>45664</v>
      </c>
      <c r="H31" t="s">
        <v>56</v>
      </c>
      <c r="I31" s="2">
        <v>353</v>
      </c>
      <c r="J31" s="2">
        <v>208.01</v>
      </c>
      <c r="K31" s="2">
        <v>144.99</v>
      </c>
      <c r="L31" s="2">
        <v>41.07</v>
      </c>
      <c r="M31" s="2">
        <v>353</v>
      </c>
      <c r="N31" s="2">
        <v>208.01</v>
      </c>
      <c r="O31" s="2">
        <v>144.97999999999999</v>
      </c>
      <c r="P31" s="2">
        <v>41.07</v>
      </c>
    </row>
    <row r="32" spans="1:16" x14ac:dyDescent="0.25">
      <c r="A32" t="s">
        <v>15</v>
      </c>
      <c r="B32" t="s">
        <v>16</v>
      </c>
      <c r="C32" t="s">
        <v>58</v>
      </c>
      <c r="D32" t="s">
        <v>76</v>
      </c>
      <c r="E32" t="s">
        <v>19</v>
      </c>
      <c r="F32" t="s">
        <v>77</v>
      </c>
      <c r="G32" s="1">
        <f>45665</f>
        <v>45665</v>
      </c>
      <c r="H32" t="s">
        <v>56</v>
      </c>
      <c r="I32" s="2">
        <v>4424.8</v>
      </c>
      <c r="J32" s="2">
        <v>2880.87</v>
      </c>
      <c r="K32" s="2">
        <v>1543.93</v>
      </c>
      <c r="L32" s="2">
        <v>34.89</v>
      </c>
      <c r="M32" s="2">
        <v>4424.8</v>
      </c>
      <c r="N32" s="2">
        <v>2880.87</v>
      </c>
      <c r="O32" s="2">
        <v>1483.93</v>
      </c>
      <c r="P32" s="2">
        <v>34.89</v>
      </c>
    </row>
    <row r="33" spans="1:16" x14ac:dyDescent="0.25">
      <c r="A33" t="s">
        <v>15</v>
      </c>
      <c r="B33" t="s">
        <v>16</v>
      </c>
      <c r="C33" t="s">
        <v>58</v>
      </c>
      <c r="D33" t="s">
        <v>78</v>
      </c>
      <c r="E33" t="s">
        <v>19</v>
      </c>
      <c r="F33" t="s">
        <v>79</v>
      </c>
      <c r="G33" s="1">
        <f>45665</f>
        <v>45665</v>
      </c>
      <c r="H33" t="s">
        <v>56</v>
      </c>
      <c r="I33" s="2">
        <v>275.60000000000002</v>
      </c>
      <c r="J33" s="2">
        <v>180.97</v>
      </c>
      <c r="K33" s="2">
        <v>94.63</v>
      </c>
      <c r="L33" s="2">
        <v>34.340000000000003</v>
      </c>
      <c r="M33" s="2">
        <v>275.60000000000002</v>
      </c>
      <c r="N33" s="2">
        <v>180.97</v>
      </c>
      <c r="O33" s="2">
        <v>93.02</v>
      </c>
      <c r="P33" s="2">
        <v>34.340000000000003</v>
      </c>
    </row>
    <row r="34" spans="1:16" x14ac:dyDescent="0.25">
      <c r="A34" t="s">
        <v>15</v>
      </c>
      <c r="B34" t="s">
        <v>16</v>
      </c>
      <c r="C34" t="s">
        <v>58</v>
      </c>
      <c r="D34" t="s">
        <v>80</v>
      </c>
      <c r="E34" t="s">
        <v>19</v>
      </c>
      <c r="F34" t="s">
        <v>81</v>
      </c>
      <c r="G34" s="1">
        <f>45665</f>
        <v>45665</v>
      </c>
      <c r="H34" t="s">
        <v>56</v>
      </c>
      <c r="I34" s="2">
        <v>339.7</v>
      </c>
      <c r="J34" s="2">
        <v>226.89</v>
      </c>
      <c r="K34" s="2">
        <v>112.81</v>
      </c>
      <c r="L34" s="2">
        <v>33.21</v>
      </c>
      <c r="M34" s="2">
        <v>339.7</v>
      </c>
      <c r="N34" s="2">
        <v>226.89</v>
      </c>
      <c r="O34" s="2">
        <v>103.81</v>
      </c>
      <c r="P34" s="2">
        <v>33.21</v>
      </c>
    </row>
    <row r="35" spans="1:16" x14ac:dyDescent="0.25">
      <c r="A35" t="s">
        <v>15</v>
      </c>
      <c r="B35" t="s">
        <v>16</v>
      </c>
      <c r="C35" t="s">
        <v>58</v>
      </c>
      <c r="D35" t="s">
        <v>82</v>
      </c>
      <c r="E35" t="s">
        <v>19</v>
      </c>
      <c r="F35" t="s">
        <v>64</v>
      </c>
      <c r="G35" s="1">
        <f>45666</f>
        <v>45666</v>
      </c>
      <c r="H35" t="s">
        <v>56</v>
      </c>
      <c r="I35" s="2">
        <v>1023.93</v>
      </c>
      <c r="J35" s="2">
        <v>767.06</v>
      </c>
      <c r="K35" s="2">
        <v>256.87</v>
      </c>
      <c r="L35" s="2">
        <v>25.09</v>
      </c>
      <c r="M35" s="2">
        <v>1023.93</v>
      </c>
      <c r="N35" s="2">
        <v>751.69</v>
      </c>
      <c r="O35" s="2">
        <v>257.19</v>
      </c>
      <c r="P35" s="2">
        <v>26.59</v>
      </c>
    </row>
    <row r="36" spans="1:16" x14ac:dyDescent="0.25">
      <c r="A36" t="s">
        <v>15</v>
      </c>
      <c r="B36" t="s">
        <v>16</v>
      </c>
      <c r="C36" t="s">
        <v>58</v>
      </c>
      <c r="D36" t="s">
        <v>83</v>
      </c>
      <c r="E36" t="s">
        <v>47</v>
      </c>
      <c r="F36" t="s">
        <v>60</v>
      </c>
      <c r="G36" s="1">
        <f>45666</f>
        <v>45666</v>
      </c>
      <c r="H36" t="s">
        <v>84</v>
      </c>
      <c r="I36" s="2">
        <v>0</v>
      </c>
      <c r="J36" s="2">
        <v>0</v>
      </c>
      <c r="K36" s="2">
        <v>0</v>
      </c>
      <c r="L36" s="2">
        <v>0</v>
      </c>
      <c r="M36" s="2">
        <v>49.86</v>
      </c>
      <c r="N36" s="2">
        <v>31.23</v>
      </c>
      <c r="O36" s="2">
        <v>18.63</v>
      </c>
      <c r="P36" s="2">
        <v>37.36</v>
      </c>
    </row>
    <row r="37" spans="1:16" x14ac:dyDescent="0.25">
      <c r="A37" t="s">
        <v>15</v>
      </c>
      <c r="B37" t="s">
        <v>16</v>
      </c>
      <c r="C37" t="s">
        <v>58</v>
      </c>
      <c r="D37" t="s">
        <v>85</v>
      </c>
      <c r="E37" t="s">
        <v>19</v>
      </c>
      <c r="F37" t="s">
        <v>86</v>
      </c>
      <c r="G37" s="1">
        <f>45667</f>
        <v>45667</v>
      </c>
      <c r="H37" t="s">
        <v>56</v>
      </c>
      <c r="I37" s="2">
        <v>470.28</v>
      </c>
      <c r="J37" s="2">
        <v>316.43</v>
      </c>
      <c r="K37" s="2">
        <v>153.85</v>
      </c>
      <c r="L37" s="2">
        <v>32.71</v>
      </c>
      <c r="M37" s="2">
        <v>470.28</v>
      </c>
      <c r="N37" s="2">
        <v>316.43</v>
      </c>
      <c r="O37" s="2">
        <v>69.55</v>
      </c>
      <c r="P37" s="2">
        <v>32.71</v>
      </c>
    </row>
    <row r="38" spans="1:16" x14ac:dyDescent="0.25">
      <c r="A38" t="s">
        <v>15</v>
      </c>
      <c r="B38" t="s">
        <v>16</v>
      </c>
      <c r="C38" t="s">
        <v>58</v>
      </c>
      <c r="D38" t="s">
        <v>87</v>
      </c>
      <c r="E38" t="s">
        <v>19</v>
      </c>
      <c r="F38" t="s">
        <v>64</v>
      </c>
      <c r="G38" s="1">
        <f>45667</f>
        <v>45667</v>
      </c>
      <c r="H38" t="s">
        <v>56</v>
      </c>
      <c r="I38" s="2">
        <v>1936.76</v>
      </c>
      <c r="J38" s="2">
        <v>1317</v>
      </c>
      <c r="K38" s="2">
        <v>619.76</v>
      </c>
      <c r="L38" s="2">
        <v>32</v>
      </c>
      <c r="M38" s="2">
        <v>1936.76</v>
      </c>
      <c r="N38" s="2">
        <v>1317</v>
      </c>
      <c r="O38" s="2">
        <v>556.76</v>
      </c>
      <c r="P38" s="2">
        <v>32</v>
      </c>
    </row>
    <row r="39" spans="1:16" x14ac:dyDescent="0.25">
      <c r="A39" t="s">
        <v>15</v>
      </c>
      <c r="B39" t="s">
        <v>16</v>
      </c>
      <c r="C39" t="s">
        <v>58</v>
      </c>
      <c r="D39" t="s">
        <v>88</v>
      </c>
      <c r="E39" t="s">
        <v>19</v>
      </c>
      <c r="F39" t="s">
        <v>89</v>
      </c>
      <c r="G39" s="1">
        <f>45667</f>
        <v>45667</v>
      </c>
      <c r="H39" t="s">
        <v>56</v>
      </c>
      <c r="I39" s="2">
        <v>3195</v>
      </c>
      <c r="J39" s="2">
        <v>1524.26</v>
      </c>
      <c r="K39" s="2">
        <v>1670.74</v>
      </c>
      <c r="L39" s="2">
        <v>52.29</v>
      </c>
      <c r="M39" s="2">
        <v>3195</v>
      </c>
      <c r="N39" s="2">
        <v>1444.76</v>
      </c>
      <c r="O39" s="2">
        <v>1676.24</v>
      </c>
      <c r="P39" s="2">
        <v>54.78</v>
      </c>
    </row>
    <row r="40" spans="1:16" x14ac:dyDescent="0.25">
      <c r="A40" t="s">
        <v>15</v>
      </c>
      <c r="B40" t="s">
        <v>16</v>
      </c>
      <c r="C40" t="s">
        <v>58</v>
      </c>
      <c r="D40" t="s">
        <v>90</v>
      </c>
      <c r="E40" t="s">
        <v>19</v>
      </c>
      <c r="F40" t="s">
        <v>64</v>
      </c>
      <c r="G40" s="1">
        <f>45667</f>
        <v>45667</v>
      </c>
      <c r="H40" t="s">
        <v>56</v>
      </c>
      <c r="I40" s="2">
        <v>3842.3</v>
      </c>
      <c r="J40" s="2">
        <v>2400</v>
      </c>
      <c r="K40" s="2">
        <v>1442.3</v>
      </c>
      <c r="L40" s="2">
        <v>37.54</v>
      </c>
      <c r="M40" s="2">
        <v>3842.3</v>
      </c>
      <c r="N40" s="2">
        <v>2400</v>
      </c>
      <c r="O40" s="2">
        <v>1442.3</v>
      </c>
      <c r="P40" s="2">
        <v>37.54</v>
      </c>
    </row>
    <row r="41" spans="1:16" x14ac:dyDescent="0.25">
      <c r="A41" t="s">
        <v>15</v>
      </c>
      <c r="B41" t="s">
        <v>16</v>
      </c>
      <c r="C41" t="s">
        <v>58</v>
      </c>
      <c r="D41" t="s">
        <v>91</v>
      </c>
      <c r="E41" t="s">
        <v>47</v>
      </c>
      <c r="F41" t="s">
        <v>69</v>
      </c>
      <c r="G41" s="1">
        <f>45670</f>
        <v>45670</v>
      </c>
      <c r="H41" t="s">
        <v>70</v>
      </c>
      <c r="I41" s="2">
        <v>0</v>
      </c>
      <c r="J41" s="2">
        <v>0</v>
      </c>
      <c r="K41" s="2">
        <v>0</v>
      </c>
      <c r="L41" s="2">
        <v>0</v>
      </c>
      <c r="M41" s="2">
        <v>1969.93</v>
      </c>
      <c r="N41" s="2">
        <v>1577.26</v>
      </c>
      <c r="O41" s="2">
        <v>392.67</v>
      </c>
      <c r="P41" s="2">
        <v>19.93</v>
      </c>
    </row>
    <row r="42" spans="1:16" x14ac:dyDescent="0.25">
      <c r="A42" t="s">
        <v>15</v>
      </c>
      <c r="B42" t="s">
        <v>16</v>
      </c>
      <c r="C42" t="s">
        <v>58</v>
      </c>
      <c r="D42" t="s">
        <v>92</v>
      </c>
      <c r="E42" t="s">
        <v>19</v>
      </c>
      <c r="F42" t="s">
        <v>93</v>
      </c>
      <c r="G42" s="1">
        <f>45670</f>
        <v>45670</v>
      </c>
      <c r="H42" t="s">
        <v>51</v>
      </c>
      <c r="I42" s="2">
        <v>1131.7</v>
      </c>
      <c r="J42" s="2">
        <v>691.37</v>
      </c>
      <c r="K42" s="2">
        <v>440.33</v>
      </c>
      <c r="L42" s="2">
        <v>38.909999999999997</v>
      </c>
      <c r="M42" s="2">
        <v>1131.7</v>
      </c>
      <c r="N42" s="2">
        <v>691.37</v>
      </c>
      <c r="O42" s="2">
        <v>429.43</v>
      </c>
      <c r="P42" s="2">
        <v>38.909999999999997</v>
      </c>
    </row>
    <row r="43" spans="1:16" x14ac:dyDescent="0.25">
      <c r="A43" t="s">
        <v>15</v>
      </c>
      <c r="B43" t="s">
        <v>16</v>
      </c>
      <c r="C43" t="s">
        <v>58</v>
      </c>
      <c r="D43" t="s">
        <v>94</v>
      </c>
      <c r="E43" t="s">
        <v>19</v>
      </c>
      <c r="F43" t="s">
        <v>95</v>
      </c>
      <c r="G43" s="1">
        <f>45670</f>
        <v>45670</v>
      </c>
      <c r="H43" t="s">
        <v>51</v>
      </c>
      <c r="I43" s="2">
        <v>3247.8</v>
      </c>
      <c r="J43" s="2">
        <v>2162.9</v>
      </c>
      <c r="K43" s="2">
        <v>1084.9000000000001</v>
      </c>
      <c r="L43" s="2">
        <v>33.4</v>
      </c>
      <c r="M43" s="2">
        <v>3247.8</v>
      </c>
      <c r="N43" s="2">
        <v>2162.89</v>
      </c>
      <c r="O43" s="2">
        <v>1084.9000000000001</v>
      </c>
      <c r="P43" s="2">
        <v>33.4</v>
      </c>
    </row>
    <row r="44" spans="1:16" x14ac:dyDescent="0.25">
      <c r="A44" t="s">
        <v>15</v>
      </c>
      <c r="B44" t="s">
        <v>16</v>
      </c>
      <c r="C44" t="s">
        <v>58</v>
      </c>
      <c r="D44" t="s">
        <v>96</v>
      </c>
      <c r="E44" t="s">
        <v>47</v>
      </c>
      <c r="F44" t="s">
        <v>97</v>
      </c>
      <c r="G44" s="1">
        <f>45670</f>
        <v>45670</v>
      </c>
      <c r="H44" t="s">
        <v>70</v>
      </c>
      <c r="I44" s="2">
        <v>0</v>
      </c>
      <c r="J44" s="2">
        <v>0</v>
      </c>
      <c r="K44" s="2">
        <v>0</v>
      </c>
      <c r="L44" s="2">
        <v>0</v>
      </c>
      <c r="M44" s="2">
        <v>54.25</v>
      </c>
      <c r="N44" s="2">
        <v>33.9</v>
      </c>
      <c r="O44" s="2">
        <v>20.350000000000001</v>
      </c>
      <c r="P44" s="2">
        <v>37.51</v>
      </c>
    </row>
    <row r="45" spans="1:16" x14ac:dyDescent="0.25">
      <c r="A45" t="s">
        <v>15</v>
      </c>
      <c r="B45" t="s">
        <v>16</v>
      </c>
      <c r="C45" t="s">
        <v>58</v>
      </c>
      <c r="D45" t="s">
        <v>98</v>
      </c>
      <c r="E45" t="s">
        <v>19</v>
      </c>
      <c r="F45" t="s">
        <v>99</v>
      </c>
      <c r="G45" s="1">
        <f>45670</f>
        <v>45670</v>
      </c>
      <c r="H45" t="s">
        <v>51</v>
      </c>
      <c r="I45" s="2">
        <v>4984.1000000000004</v>
      </c>
      <c r="J45" s="2">
        <v>3478.51</v>
      </c>
      <c r="K45" s="2">
        <v>1505.59</v>
      </c>
      <c r="L45" s="2">
        <v>30.21</v>
      </c>
      <c r="M45" s="2">
        <v>4984.1000000000004</v>
      </c>
      <c r="N45" s="2">
        <v>3478.51</v>
      </c>
      <c r="O45" s="2">
        <v>1280.01</v>
      </c>
      <c r="P45" s="2">
        <v>30.21</v>
      </c>
    </row>
    <row r="46" spans="1:16" x14ac:dyDescent="0.25">
      <c r="A46" t="s">
        <v>15</v>
      </c>
      <c r="B46" t="s">
        <v>16</v>
      </c>
      <c r="C46" t="s">
        <v>58</v>
      </c>
      <c r="D46" t="s">
        <v>100</v>
      </c>
      <c r="E46" t="s">
        <v>19</v>
      </c>
      <c r="F46" t="s">
        <v>64</v>
      </c>
      <c r="G46" s="1">
        <f>45670</f>
        <v>45670</v>
      </c>
      <c r="H46" t="s">
        <v>51</v>
      </c>
      <c r="I46" s="2">
        <v>706.56</v>
      </c>
      <c r="J46" s="2">
        <v>480.46</v>
      </c>
      <c r="K46" s="2">
        <v>226.1</v>
      </c>
      <c r="L46" s="2">
        <v>32</v>
      </c>
      <c r="M46" s="2">
        <v>706.56</v>
      </c>
      <c r="N46" s="2">
        <v>480.46</v>
      </c>
      <c r="O46" s="2">
        <v>201.1</v>
      </c>
      <c r="P46" s="2">
        <v>32</v>
      </c>
    </row>
    <row r="47" spans="1:16" x14ac:dyDescent="0.25">
      <c r="A47" t="s">
        <v>15</v>
      </c>
      <c r="B47" t="s">
        <v>16</v>
      </c>
      <c r="C47" t="s">
        <v>58</v>
      </c>
      <c r="D47" t="s">
        <v>101</v>
      </c>
      <c r="E47" t="s">
        <v>47</v>
      </c>
      <c r="F47" t="s">
        <v>73</v>
      </c>
      <c r="G47" s="1">
        <f>45671</f>
        <v>45671</v>
      </c>
      <c r="H47" t="s">
        <v>70</v>
      </c>
      <c r="I47" s="2">
        <v>0</v>
      </c>
      <c r="J47" s="2">
        <v>0</v>
      </c>
      <c r="K47" s="2">
        <v>0</v>
      </c>
      <c r="L47" s="2">
        <v>0</v>
      </c>
      <c r="M47" s="2">
        <v>41.44</v>
      </c>
      <c r="N47" s="2">
        <v>25.9</v>
      </c>
      <c r="O47" s="2">
        <v>15.54</v>
      </c>
      <c r="P47" s="2">
        <v>37.5</v>
      </c>
    </row>
    <row r="48" spans="1:16" x14ac:dyDescent="0.25">
      <c r="A48" t="s">
        <v>15</v>
      </c>
      <c r="B48" t="s">
        <v>16</v>
      </c>
      <c r="C48" t="s">
        <v>58</v>
      </c>
      <c r="D48" t="s">
        <v>102</v>
      </c>
      <c r="E48" t="s">
        <v>19</v>
      </c>
      <c r="F48" t="s">
        <v>103</v>
      </c>
      <c r="G48" s="1">
        <f>45671</f>
        <v>45671</v>
      </c>
      <c r="H48" t="s">
        <v>56</v>
      </c>
      <c r="I48" s="2">
        <v>1552.97</v>
      </c>
      <c r="J48" s="2">
        <v>947.69</v>
      </c>
      <c r="K48" s="2">
        <v>605.28</v>
      </c>
      <c r="L48" s="2">
        <v>38.979999999999997</v>
      </c>
      <c r="M48" s="2">
        <v>1552.97</v>
      </c>
      <c r="N48" s="2">
        <v>949.38</v>
      </c>
      <c r="O48" s="2">
        <v>547.59</v>
      </c>
      <c r="P48" s="2">
        <v>38.869999999999997</v>
      </c>
    </row>
    <row r="49" spans="1:16" x14ac:dyDescent="0.25">
      <c r="A49" t="s">
        <v>15</v>
      </c>
      <c r="B49" t="s">
        <v>16</v>
      </c>
      <c r="C49" t="s">
        <v>58</v>
      </c>
      <c r="D49" t="s">
        <v>104</v>
      </c>
      <c r="E49" t="s">
        <v>47</v>
      </c>
      <c r="F49" t="s">
        <v>105</v>
      </c>
      <c r="G49" s="1">
        <f>45672</f>
        <v>45672</v>
      </c>
      <c r="H49" t="s">
        <v>70</v>
      </c>
      <c r="I49" s="2">
        <v>0</v>
      </c>
      <c r="J49" s="2">
        <v>0</v>
      </c>
      <c r="K49" s="2">
        <v>0</v>
      </c>
      <c r="L49" s="2">
        <v>0</v>
      </c>
      <c r="M49" s="2">
        <v>542.84</v>
      </c>
      <c r="N49" s="2">
        <v>327.95</v>
      </c>
      <c r="O49" s="2">
        <v>214.89</v>
      </c>
      <c r="P49" s="2">
        <v>39.590000000000003</v>
      </c>
    </row>
    <row r="50" spans="1:16" x14ac:dyDescent="0.25">
      <c r="A50" t="s">
        <v>15</v>
      </c>
      <c r="B50" t="s">
        <v>16</v>
      </c>
      <c r="C50" t="s">
        <v>58</v>
      </c>
      <c r="D50" t="s">
        <v>106</v>
      </c>
      <c r="E50" t="s">
        <v>47</v>
      </c>
      <c r="F50" t="s">
        <v>75</v>
      </c>
      <c r="G50" s="1">
        <f>45672</f>
        <v>45672</v>
      </c>
      <c r="H50" t="s">
        <v>70</v>
      </c>
      <c r="I50" s="2">
        <v>0</v>
      </c>
      <c r="J50" s="2">
        <v>0</v>
      </c>
      <c r="K50" s="2">
        <v>0</v>
      </c>
      <c r="L50" s="2">
        <v>0</v>
      </c>
      <c r="M50" s="2">
        <v>9.4499999999999993</v>
      </c>
      <c r="N50" s="2">
        <v>5.9</v>
      </c>
      <c r="O50" s="2">
        <v>3.55</v>
      </c>
      <c r="P50" s="2">
        <v>37.57</v>
      </c>
    </row>
    <row r="51" spans="1:16" x14ac:dyDescent="0.25">
      <c r="A51" t="s">
        <v>15</v>
      </c>
      <c r="B51" t="s">
        <v>16</v>
      </c>
      <c r="C51" t="s">
        <v>58</v>
      </c>
      <c r="D51" t="s">
        <v>107</v>
      </c>
      <c r="E51" t="s">
        <v>19</v>
      </c>
      <c r="F51" t="s">
        <v>108</v>
      </c>
      <c r="G51" s="1">
        <f>45672</f>
        <v>45672</v>
      </c>
      <c r="H51" t="s">
        <v>56</v>
      </c>
      <c r="I51" s="2">
        <v>1665</v>
      </c>
      <c r="J51" s="2">
        <v>1224.32</v>
      </c>
      <c r="K51" s="2">
        <v>440.68</v>
      </c>
      <c r="L51" s="2">
        <v>26.47</v>
      </c>
      <c r="M51" s="2">
        <v>1665</v>
      </c>
      <c r="N51" s="2">
        <v>1224.32</v>
      </c>
      <c r="O51" s="2">
        <v>431.68</v>
      </c>
      <c r="P51" s="2">
        <v>26.47</v>
      </c>
    </row>
    <row r="52" spans="1:16" x14ac:dyDescent="0.25">
      <c r="A52" t="s">
        <v>15</v>
      </c>
      <c r="B52" t="s">
        <v>16</v>
      </c>
      <c r="C52" t="s">
        <v>58</v>
      </c>
      <c r="D52" t="s">
        <v>109</v>
      </c>
      <c r="E52" t="s">
        <v>19</v>
      </c>
      <c r="F52" t="s">
        <v>64</v>
      </c>
      <c r="G52" s="1">
        <f>45672</f>
        <v>45672</v>
      </c>
      <c r="H52" t="s">
        <v>56</v>
      </c>
      <c r="I52" s="2">
        <v>572.05999999999995</v>
      </c>
      <c r="J52" s="2">
        <v>389</v>
      </c>
      <c r="K52" s="2">
        <v>183.06</v>
      </c>
      <c r="L52" s="2">
        <v>32</v>
      </c>
      <c r="M52" s="2">
        <v>375</v>
      </c>
      <c r="N52" s="2">
        <v>389</v>
      </c>
      <c r="O52" s="2">
        <v>-14</v>
      </c>
      <c r="P52" s="2">
        <v>-3.73</v>
      </c>
    </row>
    <row r="53" spans="1:16" x14ac:dyDescent="0.25">
      <c r="A53" t="s">
        <v>15</v>
      </c>
      <c r="B53" t="s">
        <v>16</v>
      </c>
      <c r="C53" t="s">
        <v>58</v>
      </c>
      <c r="D53" t="s">
        <v>110</v>
      </c>
      <c r="E53" t="s">
        <v>19</v>
      </c>
      <c r="F53" t="s">
        <v>111</v>
      </c>
      <c r="G53" s="1">
        <f>45673</f>
        <v>45673</v>
      </c>
      <c r="H53" t="s">
        <v>56</v>
      </c>
      <c r="I53" s="2">
        <v>754</v>
      </c>
      <c r="J53" s="2">
        <v>534.99</v>
      </c>
      <c r="K53" s="2">
        <v>219.01</v>
      </c>
      <c r="L53" s="2">
        <v>29.05</v>
      </c>
      <c r="M53" s="2">
        <v>754</v>
      </c>
      <c r="N53" s="2">
        <v>524.73</v>
      </c>
      <c r="O53" s="2">
        <v>207.53</v>
      </c>
      <c r="P53" s="2">
        <v>30.41</v>
      </c>
    </row>
    <row r="54" spans="1:16" x14ac:dyDescent="0.25">
      <c r="A54" t="s">
        <v>15</v>
      </c>
      <c r="B54" t="s">
        <v>16</v>
      </c>
      <c r="C54" t="s">
        <v>58</v>
      </c>
      <c r="D54" t="s">
        <v>112</v>
      </c>
      <c r="E54" t="s">
        <v>47</v>
      </c>
      <c r="F54" t="s">
        <v>113</v>
      </c>
      <c r="G54" s="1">
        <f>45673</f>
        <v>45673</v>
      </c>
      <c r="H54" t="s">
        <v>84</v>
      </c>
      <c r="I54" s="2">
        <v>0</v>
      </c>
      <c r="J54" s="2">
        <v>0</v>
      </c>
      <c r="K54" s="2">
        <v>0</v>
      </c>
      <c r="L54" s="2">
        <v>0</v>
      </c>
      <c r="M54" s="2">
        <v>28.6</v>
      </c>
      <c r="N54" s="2">
        <v>16.84</v>
      </c>
      <c r="O54" s="2">
        <v>11.76</v>
      </c>
      <c r="P54" s="2">
        <v>41.12</v>
      </c>
    </row>
    <row r="55" spans="1:16" x14ac:dyDescent="0.25">
      <c r="A55" t="s">
        <v>15</v>
      </c>
      <c r="B55" t="s">
        <v>16</v>
      </c>
      <c r="C55" t="s">
        <v>58</v>
      </c>
      <c r="D55" t="s">
        <v>114</v>
      </c>
      <c r="E55" t="s">
        <v>19</v>
      </c>
      <c r="F55" t="s">
        <v>115</v>
      </c>
      <c r="G55" s="1">
        <f>45674</f>
        <v>45674</v>
      </c>
      <c r="H55" t="s">
        <v>56</v>
      </c>
      <c r="I55" s="2">
        <v>637</v>
      </c>
      <c r="J55" s="2">
        <v>370.54</v>
      </c>
      <c r="K55" s="2">
        <v>266.45999999999998</v>
      </c>
      <c r="L55" s="2">
        <v>41.83</v>
      </c>
      <c r="M55" s="2">
        <v>637</v>
      </c>
      <c r="N55" s="2">
        <v>370.54</v>
      </c>
      <c r="O55" s="2">
        <v>222.46</v>
      </c>
      <c r="P55" s="2">
        <v>41.83</v>
      </c>
    </row>
    <row r="56" spans="1:16" x14ac:dyDescent="0.25">
      <c r="A56" t="s">
        <v>15</v>
      </c>
      <c r="B56" t="s">
        <v>16</v>
      </c>
      <c r="C56" t="s">
        <v>58</v>
      </c>
      <c r="D56" t="s">
        <v>116</v>
      </c>
      <c r="E56" t="s">
        <v>19</v>
      </c>
      <c r="F56" t="s">
        <v>103</v>
      </c>
      <c r="G56" s="1">
        <f>45674</f>
        <v>45674</v>
      </c>
      <c r="H56" t="s">
        <v>56</v>
      </c>
      <c r="I56" s="2">
        <v>196.8</v>
      </c>
      <c r="J56" s="2">
        <v>123.14</v>
      </c>
      <c r="K56" s="2">
        <v>73.66</v>
      </c>
      <c r="L56" s="2">
        <v>37.43</v>
      </c>
      <c r="M56" s="2">
        <v>196.8</v>
      </c>
      <c r="N56" s="2">
        <v>123.14</v>
      </c>
      <c r="O56" s="2">
        <v>31.66</v>
      </c>
      <c r="P56" s="2">
        <v>37.43</v>
      </c>
    </row>
    <row r="57" spans="1:16" x14ac:dyDescent="0.25">
      <c r="A57" t="s">
        <v>15</v>
      </c>
      <c r="B57" t="s">
        <v>16</v>
      </c>
      <c r="C57" t="s">
        <v>58</v>
      </c>
      <c r="D57" t="s">
        <v>117</v>
      </c>
      <c r="E57" t="s">
        <v>19</v>
      </c>
      <c r="F57" t="s">
        <v>89</v>
      </c>
      <c r="G57" s="1">
        <f>45674</f>
        <v>45674</v>
      </c>
      <c r="H57" t="s">
        <v>56</v>
      </c>
      <c r="I57" s="2">
        <v>337.8</v>
      </c>
      <c r="J57" s="2">
        <v>205.78</v>
      </c>
      <c r="K57" s="2">
        <v>132.02000000000001</v>
      </c>
      <c r="L57" s="2">
        <v>39.08</v>
      </c>
      <c r="M57" s="2">
        <v>337.8</v>
      </c>
      <c r="N57" s="2">
        <v>205.78</v>
      </c>
      <c r="O57" s="2">
        <v>130.18</v>
      </c>
      <c r="P57" s="2">
        <v>39.08</v>
      </c>
    </row>
    <row r="58" spans="1:16" x14ac:dyDescent="0.25">
      <c r="A58" t="s">
        <v>15</v>
      </c>
      <c r="B58" t="s">
        <v>16</v>
      </c>
      <c r="C58" t="s">
        <v>58</v>
      </c>
      <c r="D58" t="s">
        <v>118</v>
      </c>
      <c r="E58" t="s">
        <v>47</v>
      </c>
      <c r="F58" t="s">
        <v>119</v>
      </c>
      <c r="G58" s="1">
        <f>45677</f>
        <v>45677</v>
      </c>
      <c r="H58" t="s">
        <v>70</v>
      </c>
      <c r="I58" s="2">
        <v>0</v>
      </c>
      <c r="J58" s="2">
        <v>0</v>
      </c>
      <c r="K58" s="2">
        <v>0</v>
      </c>
      <c r="L58" s="2">
        <v>0</v>
      </c>
      <c r="M58" s="2">
        <v>69.28</v>
      </c>
      <c r="N58" s="2">
        <v>43.28</v>
      </c>
      <c r="O58" s="2">
        <v>26</v>
      </c>
      <c r="P58" s="2">
        <v>37.53</v>
      </c>
    </row>
    <row r="59" spans="1:16" x14ac:dyDescent="0.25">
      <c r="A59" t="s">
        <v>15</v>
      </c>
      <c r="B59" t="s">
        <v>16</v>
      </c>
      <c r="C59" t="s">
        <v>58</v>
      </c>
      <c r="D59" t="s">
        <v>120</v>
      </c>
      <c r="E59" t="s">
        <v>47</v>
      </c>
      <c r="F59" t="s">
        <v>121</v>
      </c>
      <c r="G59" s="1">
        <f>45677</f>
        <v>45677</v>
      </c>
      <c r="H59" t="s">
        <v>70</v>
      </c>
      <c r="I59" s="2">
        <v>0</v>
      </c>
      <c r="J59" s="2">
        <v>0</v>
      </c>
      <c r="K59" s="2">
        <v>0</v>
      </c>
      <c r="L59" s="2">
        <v>0</v>
      </c>
      <c r="M59" s="2">
        <v>5.8</v>
      </c>
      <c r="N59" s="2">
        <v>3.6</v>
      </c>
      <c r="O59" s="2">
        <v>2.2000000000000002</v>
      </c>
      <c r="P59" s="2">
        <v>37.93</v>
      </c>
    </row>
    <row r="60" spans="1:16" x14ac:dyDescent="0.25">
      <c r="A60" t="s">
        <v>15</v>
      </c>
      <c r="B60" t="s">
        <v>16</v>
      </c>
      <c r="C60" t="s">
        <v>58</v>
      </c>
      <c r="D60" t="s">
        <v>122</v>
      </c>
      <c r="E60" t="s">
        <v>19</v>
      </c>
      <c r="F60" t="s">
        <v>123</v>
      </c>
      <c r="G60" s="1">
        <f>45677</f>
        <v>45677</v>
      </c>
      <c r="H60" t="s">
        <v>56</v>
      </c>
      <c r="I60" s="2">
        <v>1377.1</v>
      </c>
      <c r="J60" s="2">
        <v>1039.54</v>
      </c>
      <c r="K60" s="2">
        <v>337.56</v>
      </c>
      <c r="L60" s="2">
        <v>24.51</v>
      </c>
      <c r="M60" s="2">
        <v>1377.1</v>
      </c>
      <c r="N60" s="2">
        <v>1039.54</v>
      </c>
      <c r="O60" s="2">
        <v>279.56</v>
      </c>
      <c r="P60" s="2">
        <v>24.51</v>
      </c>
    </row>
    <row r="61" spans="1:16" x14ac:dyDescent="0.25">
      <c r="A61" t="s">
        <v>15</v>
      </c>
      <c r="B61" t="s">
        <v>16</v>
      </c>
      <c r="C61" t="s">
        <v>58</v>
      </c>
      <c r="D61" t="s">
        <v>124</v>
      </c>
      <c r="E61" t="s">
        <v>47</v>
      </c>
      <c r="F61" t="s">
        <v>105</v>
      </c>
      <c r="G61" s="1">
        <f>45677</f>
        <v>45677</v>
      </c>
      <c r="H61" t="s">
        <v>84</v>
      </c>
      <c r="I61" s="2">
        <v>0</v>
      </c>
      <c r="J61" s="2">
        <v>0</v>
      </c>
      <c r="K61" s="2">
        <v>0</v>
      </c>
      <c r="L61" s="2">
        <v>0</v>
      </c>
      <c r="M61" s="2">
        <v>48.4</v>
      </c>
      <c r="N61" s="2">
        <v>28.48</v>
      </c>
      <c r="O61" s="2">
        <v>19.920000000000002</v>
      </c>
      <c r="P61" s="2">
        <v>41.16</v>
      </c>
    </row>
    <row r="62" spans="1:16" x14ac:dyDescent="0.25">
      <c r="A62" t="s">
        <v>15</v>
      </c>
      <c r="B62" t="s">
        <v>16</v>
      </c>
      <c r="C62" t="s">
        <v>58</v>
      </c>
      <c r="D62" t="s">
        <v>125</v>
      </c>
      <c r="E62" t="s">
        <v>19</v>
      </c>
      <c r="F62" t="s">
        <v>126</v>
      </c>
      <c r="G62" s="1">
        <f>45677</f>
        <v>45677</v>
      </c>
      <c r="H62" t="s">
        <v>56</v>
      </c>
      <c r="I62" s="2">
        <v>481.4</v>
      </c>
      <c r="J62" s="2">
        <v>319.33999999999997</v>
      </c>
      <c r="K62" s="2">
        <v>162.06</v>
      </c>
      <c r="L62" s="2">
        <v>33.659999999999997</v>
      </c>
      <c r="M62" s="2">
        <v>481.4</v>
      </c>
      <c r="N62" s="2">
        <v>319.33999999999997</v>
      </c>
      <c r="O62" s="2">
        <v>138.06</v>
      </c>
      <c r="P62" s="2">
        <v>33.659999999999997</v>
      </c>
    </row>
    <row r="63" spans="1:16" x14ac:dyDescent="0.25">
      <c r="A63" t="s">
        <v>15</v>
      </c>
      <c r="B63" t="s">
        <v>16</v>
      </c>
      <c r="C63" t="s">
        <v>58</v>
      </c>
      <c r="D63" t="s">
        <v>127</v>
      </c>
      <c r="E63" t="s">
        <v>19</v>
      </c>
      <c r="F63" t="s">
        <v>103</v>
      </c>
      <c r="G63" s="1">
        <f>45679</f>
        <v>45679</v>
      </c>
      <c r="H63" t="s">
        <v>56</v>
      </c>
      <c r="I63" s="2">
        <v>490.17</v>
      </c>
      <c r="J63" s="2">
        <v>267.25</v>
      </c>
      <c r="K63" s="2">
        <v>222.92</v>
      </c>
      <c r="L63" s="2">
        <v>45.48</v>
      </c>
      <c r="M63" s="2">
        <v>490.17</v>
      </c>
      <c r="N63" s="2">
        <v>267.25</v>
      </c>
      <c r="O63" s="2">
        <v>188.92</v>
      </c>
      <c r="P63" s="2">
        <v>45.48</v>
      </c>
    </row>
    <row r="64" spans="1:16" x14ac:dyDescent="0.25">
      <c r="A64" t="s">
        <v>15</v>
      </c>
      <c r="B64" t="s">
        <v>16</v>
      </c>
      <c r="C64" t="s">
        <v>58</v>
      </c>
      <c r="D64" t="s">
        <v>128</v>
      </c>
      <c r="E64" t="s">
        <v>19</v>
      </c>
      <c r="F64" t="s">
        <v>129</v>
      </c>
      <c r="G64" s="1">
        <f>45679</f>
        <v>45679</v>
      </c>
      <c r="H64" t="s">
        <v>56</v>
      </c>
      <c r="I64" s="2">
        <v>3080.1</v>
      </c>
      <c r="J64" s="2">
        <v>2187.5</v>
      </c>
      <c r="K64" s="2">
        <v>892.6</v>
      </c>
      <c r="L64" s="2">
        <v>28.98</v>
      </c>
      <c r="M64" s="2">
        <v>3080.1</v>
      </c>
      <c r="N64" s="2">
        <v>2187.5</v>
      </c>
      <c r="O64" s="2">
        <v>857.6</v>
      </c>
      <c r="P64" s="2">
        <v>28.98</v>
      </c>
    </row>
    <row r="65" spans="1:16" x14ac:dyDescent="0.25">
      <c r="A65" t="s">
        <v>15</v>
      </c>
      <c r="B65" t="s">
        <v>16</v>
      </c>
      <c r="C65" t="s">
        <v>58</v>
      </c>
      <c r="D65" t="s">
        <v>130</v>
      </c>
      <c r="E65" t="s">
        <v>19</v>
      </c>
      <c r="F65" t="s">
        <v>131</v>
      </c>
      <c r="G65" s="1">
        <f>45680</f>
        <v>45680</v>
      </c>
      <c r="H65" t="s">
        <v>56</v>
      </c>
      <c r="I65" s="2">
        <v>389.24</v>
      </c>
      <c r="J65" s="2">
        <v>259.5</v>
      </c>
      <c r="K65" s="2">
        <v>129.74</v>
      </c>
      <c r="L65" s="2">
        <v>33.33</v>
      </c>
      <c r="M65" s="2">
        <v>389.24</v>
      </c>
      <c r="N65" s="2">
        <v>259.5</v>
      </c>
      <c r="O65" s="2">
        <v>129.74</v>
      </c>
      <c r="P65" s="2">
        <v>33.33</v>
      </c>
    </row>
    <row r="66" spans="1:16" x14ac:dyDescent="0.25">
      <c r="A66" t="s">
        <v>15</v>
      </c>
      <c r="B66" t="s">
        <v>16</v>
      </c>
      <c r="C66" t="s">
        <v>58</v>
      </c>
      <c r="D66" t="s">
        <v>132</v>
      </c>
      <c r="E66" t="s">
        <v>47</v>
      </c>
      <c r="F66" t="s">
        <v>105</v>
      </c>
      <c r="G66" s="1">
        <f>45680</f>
        <v>45680</v>
      </c>
      <c r="H66" t="s">
        <v>84</v>
      </c>
      <c r="I66" s="2">
        <v>0</v>
      </c>
      <c r="J66" s="2">
        <v>0</v>
      </c>
      <c r="K66" s="2">
        <v>0</v>
      </c>
      <c r="L66" s="2">
        <v>0</v>
      </c>
      <c r="M66" s="2">
        <v>23.94</v>
      </c>
      <c r="N66" s="2">
        <v>14.1</v>
      </c>
      <c r="O66" s="2">
        <v>9.84</v>
      </c>
      <c r="P66" s="2">
        <v>41.12</v>
      </c>
    </row>
    <row r="67" spans="1:16" x14ac:dyDescent="0.25">
      <c r="A67" t="s">
        <v>15</v>
      </c>
      <c r="B67" t="s">
        <v>16</v>
      </c>
      <c r="C67" t="s">
        <v>58</v>
      </c>
      <c r="D67" t="s">
        <v>133</v>
      </c>
      <c r="E67" t="s">
        <v>19</v>
      </c>
      <c r="F67" t="s">
        <v>134</v>
      </c>
      <c r="G67" s="1">
        <f>45680</f>
        <v>45680</v>
      </c>
      <c r="H67" t="s">
        <v>56</v>
      </c>
      <c r="I67" s="2">
        <v>280.83</v>
      </c>
      <c r="J67" s="2">
        <v>152.47</v>
      </c>
      <c r="K67" s="2">
        <v>128.36000000000001</v>
      </c>
      <c r="L67" s="2">
        <v>45.71</v>
      </c>
      <c r="M67" s="2">
        <v>280.83</v>
      </c>
      <c r="N67" s="2">
        <v>152.47</v>
      </c>
      <c r="O67" s="2">
        <v>128.36000000000001</v>
      </c>
      <c r="P67" s="2">
        <v>45.71</v>
      </c>
    </row>
    <row r="68" spans="1:16" x14ac:dyDescent="0.25">
      <c r="A68" t="s">
        <v>15</v>
      </c>
      <c r="B68" t="s">
        <v>16</v>
      </c>
      <c r="C68" t="s">
        <v>58</v>
      </c>
      <c r="D68" t="s">
        <v>135</v>
      </c>
      <c r="E68" t="s">
        <v>19</v>
      </c>
      <c r="F68" t="s">
        <v>131</v>
      </c>
      <c r="G68" s="1">
        <f>45681</f>
        <v>45681</v>
      </c>
      <c r="H68" t="s">
        <v>56</v>
      </c>
      <c r="I68" s="2">
        <v>1610.24</v>
      </c>
      <c r="J68" s="2">
        <v>1020.47</v>
      </c>
      <c r="K68" s="2">
        <v>589.77</v>
      </c>
      <c r="L68" s="2">
        <v>36.630000000000003</v>
      </c>
      <c r="M68" s="2">
        <v>1610.24</v>
      </c>
      <c r="N68" s="2">
        <v>1020.47</v>
      </c>
      <c r="O68" s="2">
        <v>569.76</v>
      </c>
      <c r="P68" s="2">
        <v>36.630000000000003</v>
      </c>
    </row>
    <row r="69" spans="1:16" x14ac:dyDescent="0.25">
      <c r="A69" t="s">
        <v>15</v>
      </c>
      <c r="B69" t="s">
        <v>16</v>
      </c>
      <c r="C69" t="s">
        <v>58</v>
      </c>
      <c r="D69" t="s">
        <v>136</v>
      </c>
      <c r="E69" t="s">
        <v>19</v>
      </c>
      <c r="F69" t="s">
        <v>137</v>
      </c>
      <c r="G69" s="1">
        <f>45681</f>
        <v>45681</v>
      </c>
      <c r="H69" t="s">
        <v>56</v>
      </c>
      <c r="I69" s="2">
        <v>1149.3</v>
      </c>
      <c r="J69" s="2">
        <v>775.9</v>
      </c>
      <c r="K69" s="2">
        <v>373.4</v>
      </c>
      <c r="L69" s="2">
        <v>32.49</v>
      </c>
      <c r="M69" s="2">
        <v>1149.3</v>
      </c>
      <c r="N69" s="2">
        <v>775.9</v>
      </c>
      <c r="O69" s="2">
        <v>309.39999999999998</v>
      </c>
      <c r="P69" s="2">
        <v>32.49</v>
      </c>
    </row>
    <row r="70" spans="1:16" x14ac:dyDescent="0.25">
      <c r="A70" t="s">
        <v>15</v>
      </c>
      <c r="B70" t="s">
        <v>16</v>
      </c>
      <c r="C70" t="s">
        <v>58</v>
      </c>
      <c r="D70" t="s">
        <v>138</v>
      </c>
      <c r="E70" t="s">
        <v>19</v>
      </c>
      <c r="F70" t="s">
        <v>139</v>
      </c>
      <c r="G70" s="1">
        <f>45684</f>
        <v>45684</v>
      </c>
      <c r="H70" t="s">
        <v>56</v>
      </c>
      <c r="I70" s="2">
        <v>191.11</v>
      </c>
      <c r="J70" s="2">
        <v>76.44</v>
      </c>
      <c r="K70" s="2">
        <v>114.67</v>
      </c>
      <c r="L70" s="2">
        <v>60</v>
      </c>
      <c r="M70" s="2">
        <v>199.69</v>
      </c>
      <c r="N70" s="2">
        <v>79.88</v>
      </c>
      <c r="O70" s="2">
        <v>119.81</v>
      </c>
      <c r="P70" s="2">
        <v>60</v>
      </c>
    </row>
    <row r="71" spans="1:16" x14ac:dyDescent="0.25">
      <c r="A71" t="s">
        <v>15</v>
      </c>
      <c r="B71" t="s">
        <v>16</v>
      </c>
      <c r="C71" t="s">
        <v>58</v>
      </c>
      <c r="D71" t="s">
        <v>140</v>
      </c>
      <c r="E71" t="s">
        <v>47</v>
      </c>
      <c r="F71" t="s">
        <v>141</v>
      </c>
      <c r="G71" s="1">
        <f>45684</f>
        <v>45684</v>
      </c>
      <c r="H71" t="s">
        <v>70</v>
      </c>
      <c r="I71" s="2">
        <v>0</v>
      </c>
      <c r="J71" s="2">
        <v>0</v>
      </c>
      <c r="K71" s="2">
        <v>0</v>
      </c>
      <c r="L71" s="2">
        <v>0</v>
      </c>
      <c r="M71" s="2">
        <v>50.72</v>
      </c>
      <c r="N71" s="2">
        <v>31.68</v>
      </c>
      <c r="O71" s="2">
        <v>19.04</v>
      </c>
      <c r="P71" s="2">
        <v>37.54</v>
      </c>
    </row>
    <row r="72" spans="1:16" x14ac:dyDescent="0.25">
      <c r="A72" t="s">
        <v>15</v>
      </c>
      <c r="B72" t="s">
        <v>16</v>
      </c>
      <c r="C72" t="s">
        <v>58</v>
      </c>
      <c r="D72" t="s">
        <v>142</v>
      </c>
      <c r="E72" t="s">
        <v>19</v>
      </c>
      <c r="F72" t="s">
        <v>67</v>
      </c>
      <c r="G72" s="1">
        <f>45679</f>
        <v>45679</v>
      </c>
      <c r="H72" t="s">
        <v>56</v>
      </c>
      <c r="I72" s="2">
        <v>366.24</v>
      </c>
      <c r="J72" s="2">
        <v>197.42</v>
      </c>
      <c r="K72" s="2">
        <v>168.82</v>
      </c>
      <c r="L72" s="2">
        <v>46.1</v>
      </c>
      <c r="M72" s="2">
        <v>366.24</v>
      </c>
      <c r="N72" s="2">
        <v>197.42</v>
      </c>
      <c r="O72" s="2">
        <v>159.82</v>
      </c>
      <c r="P72" s="2">
        <v>46.1</v>
      </c>
    </row>
    <row r="73" spans="1:16" x14ac:dyDescent="0.25">
      <c r="A73" t="s">
        <v>15</v>
      </c>
      <c r="B73" t="s">
        <v>16</v>
      </c>
      <c r="C73" t="s">
        <v>58</v>
      </c>
      <c r="D73" t="s">
        <v>143</v>
      </c>
      <c r="E73" t="s">
        <v>19</v>
      </c>
      <c r="F73" t="s">
        <v>144</v>
      </c>
      <c r="G73" s="1">
        <f>45684</f>
        <v>45684</v>
      </c>
      <c r="H73" t="s">
        <v>56</v>
      </c>
      <c r="I73" s="2">
        <v>4200</v>
      </c>
      <c r="J73" s="2">
        <v>2347.6</v>
      </c>
      <c r="K73" s="2">
        <v>1852.4</v>
      </c>
      <c r="L73" s="2">
        <v>44.1</v>
      </c>
      <c r="M73" s="2">
        <v>4200</v>
      </c>
      <c r="N73" s="2">
        <v>2347.6</v>
      </c>
      <c r="O73" s="2">
        <v>1755.4</v>
      </c>
      <c r="P73" s="2">
        <v>44.1</v>
      </c>
    </row>
    <row r="74" spans="1:16" x14ac:dyDescent="0.25">
      <c r="A74" t="s">
        <v>15</v>
      </c>
      <c r="B74" t="s">
        <v>16</v>
      </c>
      <c r="C74" t="s">
        <v>58</v>
      </c>
      <c r="D74" t="s">
        <v>145</v>
      </c>
      <c r="E74" t="s">
        <v>47</v>
      </c>
      <c r="F74" t="s">
        <v>146</v>
      </c>
      <c r="G74" s="1">
        <f>45685</f>
        <v>45685</v>
      </c>
      <c r="H74" t="s">
        <v>70</v>
      </c>
      <c r="I74" s="2">
        <v>0</v>
      </c>
      <c r="J74" s="2">
        <v>0</v>
      </c>
      <c r="K74" s="2">
        <v>0</v>
      </c>
      <c r="L74" s="2">
        <v>0</v>
      </c>
      <c r="M74" s="2">
        <v>167.4</v>
      </c>
      <c r="N74" s="2">
        <v>104.62</v>
      </c>
      <c r="O74" s="2">
        <v>62.78</v>
      </c>
      <c r="P74" s="2">
        <v>37.5</v>
      </c>
    </row>
    <row r="75" spans="1:16" x14ac:dyDescent="0.25">
      <c r="A75" t="s">
        <v>15</v>
      </c>
      <c r="B75" t="s">
        <v>16</v>
      </c>
      <c r="C75" t="s">
        <v>58</v>
      </c>
      <c r="D75" t="s">
        <v>147</v>
      </c>
      <c r="E75" t="s">
        <v>47</v>
      </c>
      <c r="F75" t="s">
        <v>60</v>
      </c>
      <c r="G75" s="1">
        <f>45685</f>
        <v>45685</v>
      </c>
      <c r="H75" t="s">
        <v>70</v>
      </c>
      <c r="I75" s="2">
        <v>0</v>
      </c>
      <c r="J75" s="2">
        <v>0</v>
      </c>
      <c r="K75" s="2">
        <v>0</v>
      </c>
      <c r="L75" s="2">
        <v>0</v>
      </c>
      <c r="M75" s="2">
        <v>44.44</v>
      </c>
      <c r="N75" s="2">
        <v>27.76</v>
      </c>
      <c r="O75" s="2">
        <v>16.68</v>
      </c>
      <c r="P75" s="2">
        <v>37.53</v>
      </c>
    </row>
    <row r="76" spans="1:16" x14ac:dyDescent="0.25">
      <c r="A76" t="s">
        <v>15</v>
      </c>
      <c r="B76" t="s">
        <v>16</v>
      </c>
      <c r="C76" t="s">
        <v>58</v>
      </c>
      <c r="D76" t="s">
        <v>148</v>
      </c>
      <c r="E76" t="s">
        <v>19</v>
      </c>
      <c r="F76" t="s">
        <v>111</v>
      </c>
      <c r="G76" s="1">
        <f>45685</f>
        <v>45685</v>
      </c>
      <c r="H76" t="s">
        <v>56</v>
      </c>
      <c r="I76" s="2">
        <v>1026.45</v>
      </c>
      <c r="J76" s="2">
        <v>698</v>
      </c>
      <c r="K76" s="2">
        <v>328.45</v>
      </c>
      <c r="L76" s="2">
        <v>32</v>
      </c>
      <c r="M76" s="2">
        <v>1026.45</v>
      </c>
      <c r="N76" s="2">
        <v>698</v>
      </c>
      <c r="O76" s="2">
        <v>328.45</v>
      </c>
      <c r="P76" s="2">
        <v>32</v>
      </c>
    </row>
    <row r="77" spans="1:16" x14ac:dyDescent="0.25">
      <c r="A77" t="s">
        <v>15</v>
      </c>
      <c r="B77" t="s">
        <v>16</v>
      </c>
      <c r="C77" t="s">
        <v>58</v>
      </c>
      <c r="D77" t="s">
        <v>149</v>
      </c>
      <c r="E77" t="s">
        <v>19</v>
      </c>
      <c r="F77" t="s">
        <v>64</v>
      </c>
      <c r="G77" s="1">
        <f>45686</f>
        <v>45686</v>
      </c>
      <c r="H77" t="s">
        <v>56</v>
      </c>
      <c r="I77" s="2">
        <v>366</v>
      </c>
      <c r="J77" s="2">
        <v>242.4</v>
      </c>
      <c r="K77" s="2">
        <v>123.6</v>
      </c>
      <c r="L77" s="2">
        <v>33.770000000000003</v>
      </c>
      <c r="M77" s="2">
        <v>366</v>
      </c>
      <c r="N77" s="2">
        <v>242.4</v>
      </c>
      <c r="O77" s="2">
        <v>54.6</v>
      </c>
      <c r="P77" s="2">
        <v>33.770000000000003</v>
      </c>
    </row>
    <row r="78" spans="1:16" x14ac:dyDescent="0.25">
      <c r="A78" t="s">
        <v>15</v>
      </c>
      <c r="B78" t="s">
        <v>16</v>
      </c>
      <c r="C78" t="s">
        <v>58</v>
      </c>
      <c r="D78" t="s">
        <v>150</v>
      </c>
      <c r="E78" t="s">
        <v>19</v>
      </c>
      <c r="F78" t="s">
        <v>86</v>
      </c>
      <c r="G78" s="1">
        <f>45686</f>
        <v>45686</v>
      </c>
      <c r="H78" t="s">
        <v>56</v>
      </c>
      <c r="I78" s="2">
        <v>243.6</v>
      </c>
      <c r="J78" s="2">
        <v>90.86</v>
      </c>
      <c r="K78" s="2">
        <v>152.74</v>
      </c>
      <c r="L78" s="2">
        <v>62.7</v>
      </c>
      <c r="M78" s="2">
        <v>243.6</v>
      </c>
      <c r="N78" s="2">
        <v>90.86</v>
      </c>
      <c r="O78" s="2">
        <v>103.74</v>
      </c>
      <c r="P78" s="2">
        <v>62.7</v>
      </c>
    </row>
    <row r="79" spans="1:16" x14ac:dyDescent="0.25">
      <c r="A79" t="s">
        <v>15</v>
      </c>
      <c r="B79" t="s">
        <v>16</v>
      </c>
      <c r="C79" t="s">
        <v>58</v>
      </c>
      <c r="D79" t="s">
        <v>151</v>
      </c>
      <c r="E79" t="s">
        <v>47</v>
      </c>
      <c r="F79" t="s">
        <v>152</v>
      </c>
      <c r="G79" s="1">
        <f>45686</f>
        <v>45686</v>
      </c>
      <c r="H79" t="s">
        <v>70</v>
      </c>
      <c r="I79" s="2">
        <v>0</v>
      </c>
      <c r="J79" s="2">
        <v>0</v>
      </c>
      <c r="K79" s="2">
        <v>0</v>
      </c>
      <c r="L79" s="2">
        <v>0</v>
      </c>
      <c r="M79" s="2">
        <v>18.899999999999999</v>
      </c>
      <c r="N79" s="2">
        <v>11.9</v>
      </c>
      <c r="O79" s="2">
        <v>7</v>
      </c>
      <c r="P79" s="2">
        <v>37.04</v>
      </c>
    </row>
    <row r="80" spans="1:16" x14ac:dyDescent="0.25">
      <c r="A80" t="s">
        <v>15</v>
      </c>
      <c r="B80" t="s">
        <v>16</v>
      </c>
      <c r="C80" t="s">
        <v>58</v>
      </c>
      <c r="D80" t="s">
        <v>153</v>
      </c>
      <c r="E80" t="s">
        <v>19</v>
      </c>
      <c r="F80" t="s">
        <v>154</v>
      </c>
      <c r="G80" s="1">
        <f>45686</f>
        <v>45686</v>
      </c>
      <c r="H80" t="s">
        <v>56</v>
      </c>
      <c r="I80" s="2">
        <v>1789.2</v>
      </c>
      <c r="J80" s="2">
        <v>1238.43</v>
      </c>
      <c r="K80" s="2">
        <v>550.77</v>
      </c>
      <c r="L80" s="2">
        <v>30.78</v>
      </c>
      <c r="M80" s="2">
        <v>1789.2</v>
      </c>
      <c r="N80" s="2">
        <v>1238.47</v>
      </c>
      <c r="O80" s="2">
        <v>539.73</v>
      </c>
      <c r="P80" s="2">
        <v>30.78</v>
      </c>
    </row>
    <row r="81" spans="1:16" x14ac:dyDescent="0.25">
      <c r="A81" t="s">
        <v>15</v>
      </c>
      <c r="B81" t="s">
        <v>16</v>
      </c>
      <c r="C81" t="s">
        <v>58</v>
      </c>
      <c r="D81" t="s">
        <v>155</v>
      </c>
      <c r="E81" t="s">
        <v>19</v>
      </c>
      <c r="F81" t="s">
        <v>156</v>
      </c>
      <c r="G81" s="1">
        <f>45686</f>
        <v>45686</v>
      </c>
      <c r="H81" t="s">
        <v>56</v>
      </c>
      <c r="I81" s="2">
        <v>2352.6999999999998</v>
      </c>
      <c r="J81" s="2">
        <v>1500.2</v>
      </c>
      <c r="K81" s="2">
        <v>852.5</v>
      </c>
      <c r="L81" s="2">
        <v>36.229999999999997</v>
      </c>
      <c r="M81" s="2">
        <v>2352.6999999999998</v>
      </c>
      <c r="N81" s="2">
        <v>1500.2</v>
      </c>
      <c r="O81" s="2">
        <v>812.5</v>
      </c>
      <c r="P81" s="2">
        <v>36.229999999999997</v>
      </c>
    </row>
    <row r="82" spans="1:16" x14ac:dyDescent="0.25">
      <c r="A82" t="s">
        <v>15</v>
      </c>
      <c r="B82" t="s">
        <v>16</v>
      </c>
      <c r="C82" t="s">
        <v>58</v>
      </c>
      <c r="D82" t="s">
        <v>157</v>
      </c>
      <c r="E82" t="s">
        <v>19</v>
      </c>
      <c r="F82" t="s">
        <v>64</v>
      </c>
      <c r="G82" s="1">
        <f>45686</f>
        <v>45686</v>
      </c>
      <c r="H82" t="s">
        <v>56</v>
      </c>
      <c r="I82" s="2">
        <v>294.55</v>
      </c>
      <c r="J82" s="2">
        <v>180.94</v>
      </c>
      <c r="K82" s="2">
        <v>113.61</v>
      </c>
      <c r="L82" s="2">
        <v>38.57</v>
      </c>
      <c r="M82" s="2">
        <v>294.55</v>
      </c>
      <c r="N82" s="2">
        <v>180.94</v>
      </c>
      <c r="O82" s="2">
        <v>113.61</v>
      </c>
      <c r="P82" s="2">
        <v>38.57</v>
      </c>
    </row>
    <row r="83" spans="1:16" x14ac:dyDescent="0.25">
      <c r="A83" t="s">
        <v>15</v>
      </c>
      <c r="B83" t="s">
        <v>16</v>
      </c>
      <c r="C83" t="s">
        <v>58</v>
      </c>
      <c r="D83" t="s">
        <v>158</v>
      </c>
      <c r="E83" t="s">
        <v>47</v>
      </c>
      <c r="F83" t="s">
        <v>159</v>
      </c>
      <c r="G83" s="1">
        <f>45686</f>
        <v>45686</v>
      </c>
      <c r="H83" t="s">
        <v>70</v>
      </c>
      <c r="I83" s="2">
        <v>0</v>
      </c>
      <c r="J83" s="2">
        <v>0</v>
      </c>
      <c r="K83" s="2">
        <v>0</v>
      </c>
      <c r="L83" s="2">
        <v>0</v>
      </c>
      <c r="M83" s="2">
        <v>19.68</v>
      </c>
      <c r="N83" s="2">
        <v>12.3</v>
      </c>
      <c r="O83" s="2">
        <v>7.38</v>
      </c>
      <c r="P83" s="2">
        <v>37.5</v>
      </c>
    </row>
    <row r="84" spans="1:16" x14ac:dyDescent="0.25">
      <c r="A84" t="s">
        <v>15</v>
      </c>
      <c r="B84" t="s">
        <v>16</v>
      </c>
      <c r="C84" t="s">
        <v>58</v>
      </c>
      <c r="D84" t="s">
        <v>160</v>
      </c>
      <c r="E84" t="s">
        <v>19</v>
      </c>
      <c r="F84" t="s">
        <v>64</v>
      </c>
      <c r="G84" s="1">
        <f>45686</f>
        <v>45686</v>
      </c>
      <c r="H84" t="s">
        <v>56</v>
      </c>
      <c r="I84" s="2">
        <v>331.2</v>
      </c>
      <c r="J84" s="2">
        <v>224.25</v>
      </c>
      <c r="K84" s="2">
        <v>106.95</v>
      </c>
      <c r="L84" s="2">
        <v>32.29</v>
      </c>
      <c r="M84" s="2">
        <v>331.2</v>
      </c>
      <c r="N84" s="2">
        <v>224.25</v>
      </c>
      <c r="O84" s="2">
        <v>55.95</v>
      </c>
      <c r="P84" s="2">
        <v>32.29</v>
      </c>
    </row>
    <row r="85" spans="1:16" x14ac:dyDescent="0.25">
      <c r="A85" t="s">
        <v>15</v>
      </c>
      <c r="B85" t="s">
        <v>16</v>
      </c>
      <c r="C85" t="s">
        <v>58</v>
      </c>
      <c r="D85" t="s">
        <v>161</v>
      </c>
      <c r="E85" t="s">
        <v>47</v>
      </c>
      <c r="F85" t="s">
        <v>69</v>
      </c>
      <c r="G85" s="1">
        <f>45687</f>
        <v>45687</v>
      </c>
      <c r="H85" t="s">
        <v>70</v>
      </c>
      <c r="I85" s="2">
        <v>0</v>
      </c>
      <c r="J85" s="2">
        <v>0</v>
      </c>
      <c r="K85" s="2">
        <v>0</v>
      </c>
      <c r="L85" s="2">
        <v>0</v>
      </c>
      <c r="M85" s="2">
        <v>16.05</v>
      </c>
      <c r="N85" s="2">
        <v>13.6</v>
      </c>
      <c r="O85" s="2">
        <v>2.4500000000000002</v>
      </c>
      <c r="P85" s="2">
        <v>15.26</v>
      </c>
    </row>
    <row r="86" spans="1:16" x14ac:dyDescent="0.25">
      <c r="A86" t="s">
        <v>15</v>
      </c>
      <c r="B86" t="s">
        <v>16</v>
      </c>
      <c r="C86" t="s">
        <v>58</v>
      </c>
      <c r="D86" t="s">
        <v>162</v>
      </c>
      <c r="E86" t="s">
        <v>19</v>
      </c>
      <c r="F86" t="s">
        <v>103</v>
      </c>
      <c r="G86" s="1">
        <f>45687</f>
        <v>45687</v>
      </c>
      <c r="H86" t="s">
        <v>56</v>
      </c>
      <c r="I86" s="2">
        <v>206.9</v>
      </c>
      <c r="J86" s="2">
        <v>134.38</v>
      </c>
      <c r="K86" s="2">
        <v>72.52</v>
      </c>
      <c r="L86" s="2">
        <v>35.049999999999997</v>
      </c>
      <c r="M86" s="2">
        <v>206.9</v>
      </c>
      <c r="N86" s="2">
        <v>134.38</v>
      </c>
      <c r="O86" s="2">
        <v>62.52</v>
      </c>
      <c r="P86" s="2">
        <v>35.049999999999997</v>
      </c>
    </row>
    <row r="87" spans="1:16" x14ac:dyDescent="0.25">
      <c r="A87" t="s">
        <v>15</v>
      </c>
      <c r="B87" t="s">
        <v>16</v>
      </c>
      <c r="C87" t="s">
        <v>58</v>
      </c>
      <c r="D87" t="s">
        <v>163</v>
      </c>
      <c r="E87" t="s">
        <v>19</v>
      </c>
      <c r="F87" t="s">
        <v>164</v>
      </c>
      <c r="G87" s="1">
        <f>45687</f>
        <v>45687</v>
      </c>
      <c r="H87" t="s">
        <v>56</v>
      </c>
      <c r="I87" s="2">
        <v>1886.4</v>
      </c>
      <c r="J87" s="2">
        <v>1131.82</v>
      </c>
      <c r="K87" s="2">
        <v>754.58</v>
      </c>
      <c r="L87" s="2">
        <v>40</v>
      </c>
      <c r="M87" s="2">
        <v>1886.4</v>
      </c>
      <c r="N87" s="2">
        <v>1131.82</v>
      </c>
      <c r="O87" s="2">
        <v>754.58</v>
      </c>
      <c r="P87" s="2">
        <v>40</v>
      </c>
    </row>
    <row r="88" spans="1:16" x14ac:dyDescent="0.25">
      <c r="A88" t="s">
        <v>15</v>
      </c>
      <c r="B88" t="s">
        <v>16</v>
      </c>
      <c r="C88" t="s">
        <v>58</v>
      </c>
      <c r="D88" t="s">
        <v>165</v>
      </c>
      <c r="E88" t="s">
        <v>19</v>
      </c>
      <c r="F88" t="s">
        <v>77</v>
      </c>
      <c r="G88" s="1">
        <f>45688</f>
        <v>45688</v>
      </c>
      <c r="H88" t="s">
        <v>56</v>
      </c>
      <c r="I88" s="2">
        <v>361.6</v>
      </c>
      <c r="J88" s="2">
        <v>251.28</v>
      </c>
      <c r="K88" s="2">
        <v>110.32</v>
      </c>
      <c r="L88" s="2">
        <v>30.51</v>
      </c>
      <c r="M88" s="2">
        <v>361.6</v>
      </c>
      <c r="N88" s="2">
        <v>251.28</v>
      </c>
      <c r="O88" s="2">
        <v>71.319999999999993</v>
      </c>
      <c r="P88" s="2">
        <v>30.51</v>
      </c>
    </row>
    <row r="89" spans="1:16" x14ac:dyDescent="0.25">
      <c r="A89" t="s">
        <v>15</v>
      </c>
      <c r="B89" t="s">
        <v>16</v>
      </c>
      <c r="C89" t="s">
        <v>58</v>
      </c>
      <c r="D89" t="s">
        <v>166</v>
      </c>
      <c r="E89" t="s">
        <v>19</v>
      </c>
      <c r="F89" t="s">
        <v>103</v>
      </c>
      <c r="G89" s="1">
        <f>45688</f>
        <v>45688</v>
      </c>
      <c r="H89" t="s">
        <v>56</v>
      </c>
      <c r="I89" s="2">
        <v>2113</v>
      </c>
      <c r="J89" s="2">
        <v>1478.05</v>
      </c>
      <c r="K89" s="2">
        <v>634.95000000000005</v>
      </c>
      <c r="L89" s="2">
        <v>30.05</v>
      </c>
      <c r="M89" s="2">
        <v>2113</v>
      </c>
      <c r="N89" s="2">
        <v>1478.05</v>
      </c>
      <c r="O89" s="2">
        <v>598.9</v>
      </c>
      <c r="P89" s="2">
        <v>30.05</v>
      </c>
    </row>
    <row r="90" spans="1:16" x14ac:dyDescent="0.25">
      <c r="A90" t="s">
        <v>15</v>
      </c>
      <c r="B90" t="s">
        <v>16</v>
      </c>
      <c r="C90" t="s">
        <v>58</v>
      </c>
      <c r="D90" t="s">
        <v>167</v>
      </c>
      <c r="E90" t="s">
        <v>19</v>
      </c>
      <c r="F90" t="s">
        <v>168</v>
      </c>
      <c r="G90" s="1">
        <f>45672</f>
        <v>45672</v>
      </c>
      <c r="H90" t="s">
        <v>56</v>
      </c>
      <c r="I90" s="2">
        <v>2480</v>
      </c>
      <c r="J90" s="2">
        <v>1175.97</v>
      </c>
      <c r="K90" s="2">
        <v>1304.03</v>
      </c>
      <c r="L90" s="2">
        <v>52.58</v>
      </c>
      <c r="M90" s="2">
        <v>2480</v>
      </c>
      <c r="N90" s="2">
        <v>1175.97</v>
      </c>
      <c r="O90" s="2">
        <v>1064.03</v>
      </c>
      <c r="P90" s="2">
        <v>52.58</v>
      </c>
    </row>
    <row r="91" spans="1:16" x14ac:dyDescent="0.25">
      <c r="A91" t="s">
        <v>15</v>
      </c>
      <c r="B91" t="s">
        <v>16</v>
      </c>
      <c r="C91" t="s">
        <v>17</v>
      </c>
      <c r="D91" t="s">
        <v>169</v>
      </c>
      <c r="E91" t="s">
        <v>19</v>
      </c>
      <c r="F91" t="s">
        <v>50</v>
      </c>
      <c r="G91" s="1">
        <f>45659</f>
        <v>45659</v>
      </c>
      <c r="H91" t="s">
        <v>56</v>
      </c>
      <c r="I91" s="2">
        <v>1382.7</v>
      </c>
      <c r="J91" s="2">
        <v>926.41</v>
      </c>
      <c r="K91" s="2">
        <v>456.29</v>
      </c>
      <c r="L91" s="2">
        <v>33</v>
      </c>
      <c r="M91" s="2">
        <v>1382.7</v>
      </c>
      <c r="N91" s="2">
        <v>926.4</v>
      </c>
      <c r="O91" s="2">
        <v>412.3</v>
      </c>
      <c r="P91" s="2">
        <v>33</v>
      </c>
    </row>
    <row r="92" spans="1:16" x14ac:dyDescent="0.25">
      <c r="A92" t="s">
        <v>15</v>
      </c>
      <c r="B92" t="s">
        <v>16</v>
      </c>
      <c r="C92" t="s">
        <v>17</v>
      </c>
      <c r="D92" t="s">
        <v>170</v>
      </c>
      <c r="E92" t="s">
        <v>19</v>
      </c>
      <c r="F92" t="s">
        <v>50</v>
      </c>
      <c r="G92" s="1">
        <f>45665</f>
        <v>45665</v>
      </c>
      <c r="H92" t="s">
        <v>51</v>
      </c>
      <c r="I92" s="2">
        <v>3426.27</v>
      </c>
      <c r="J92" s="2">
        <v>2295.61</v>
      </c>
      <c r="K92" s="2">
        <v>1130.6600000000001</v>
      </c>
      <c r="L92" s="2">
        <v>33</v>
      </c>
      <c r="M92" s="2">
        <v>0</v>
      </c>
      <c r="N92" s="2">
        <v>918.24</v>
      </c>
      <c r="O92" s="2">
        <v>-918.24</v>
      </c>
      <c r="P92" s="2">
        <v>0</v>
      </c>
    </row>
    <row r="93" spans="1:16" x14ac:dyDescent="0.25">
      <c r="A93" t="s">
        <v>15</v>
      </c>
      <c r="B93" t="s">
        <v>16</v>
      </c>
      <c r="C93" t="s">
        <v>17</v>
      </c>
      <c r="D93" t="s">
        <v>171</v>
      </c>
      <c r="E93" t="s">
        <v>19</v>
      </c>
      <c r="F93" t="s">
        <v>172</v>
      </c>
      <c r="G93" s="1">
        <f>45665</f>
        <v>45665</v>
      </c>
      <c r="H93" t="s">
        <v>51</v>
      </c>
      <c r="I93" s="2">
        <v>508.84</v>
      </c>
      <c r="J93" s="2">
        <v>288.49</v>
      </c>
      <c r="K93" s="2">
        <v>220.35</v>
      </c>
      <c r="L93" s="2">
        <v>43.3</v>
      </c>
      <c r="M93" s="2">
        <v>508.84</v>
      </c>
      <c r="N93" s="2">
        <v>288.49</v>
      </c>
      <c r="O93" s="2">
        <v>131.35</v>
      </c>
      <c r="P93" s="2">
        <v>43.3</v>
      </c>
    </row>
    <row r="94" spans="1:16" x14ac:dyDescent="0.25">
      <c r="A94" t="s">
        <v>15</v>
      </c>
      <c r="B94" t="s">
        <v>16</v>
      </c>
      <c r="C94" t="s">
        <v>17</v>
      </c>
      <c r="D94" t="s">
        <v>173</v>
      </c>
      <c r="E94" t="s">
        <v>19</v>
      </c>
      <c r="F94" t="s">
        <v>131</v>
      </c>
      <c r="G94" s="1">
        <f>45666</f>
        <v>45666</v>
      </c>
      <c r="H94" t="s">
        <v>56</v>
      </c>
      <c r="I94" s="2">
        <v>1000.12</v>
      </c>
      <c r="J94" s="2">
        <v>659.04</v>
      </c>
      <c r="K94" s="2">
        <v>341.08</v>
      </c>
      <c r="L94" s="2">
        <v>34.1</v>
      </c>
      <c r="M94" s="2">
        <v>1000.12</v>
      </c>
      <c r="N94" s="2">
        <v>659.03</v>
      </c>
      <c r="O94" s="2">
        <v>332.09</v>
      </c>
      <c r="P94" s="2">
        <v>34.1</v>
      </c>
    </row>
    <row r="95" spans="1:16" x14ac:dyDescent="0.25">
      <c r="A95" t="s">
        <v>15</v>
      </c>
      <c r="B95" t="s">
        <v>16</v>
      </c>
      <c r="C95" t="s">
        <v>17</v>
      </c>
      <c r="D95" t="s">
        <v>174</v>
      </c>
      <c r="E95" t="s">
        <v>19</v>
      </c>
      <c r="F95" t="s">
        <v>53</v>
      </c>
      <c r="G95" s="1">
        <f>45667</f>
        <v>45667</v>
      </c>
      <c r="H95" t="s">
        <v>51</v>
      </c>
      <c r="I95" s="2">
        <v>688.5</v>
      </c>
      <c r="J95" s="2">
        <v>489.42</v>
      </c>
      <c r="K95" s="2">
        <v>199.08</v>
      </c>
      <c r="L95" s="2">
        <v>28.92</v>
      </c>
      <c r="M95" s="2">
        <v>688.5</v>
      </c>
      <c r="N95" s="2">
        <v>489.42</v>
      </c>
      <c r="O95" s="2">
        <v>172.54</v>
      </c>
      <c r="P95" s="2">
        <v>28.92</v>
      </c>
    </row>
    <row r="96" spans="1:16" x14ac:dyDescent="0.25">
      <c r="A96" t="s">
        <v>15</v>
      </c>
      <c r="B96" t="s">
        <v>16</v>
      </c>
      <c r="C96" t="s">
        <v>17</v>
      </c>
      <c r="D96" t="s">
        <v>175</v>
      </c>
      <c r="E96" t="s">
        <v>19</v>
      </c>
      <c r="F96" t="s">
        <v>176</v>
      </c>
      <c r="G96" s="1">
        <f>45667</f>
        <v>45667</v>
      </c>
      <c r="H96" t="s">
        <v>51</v>
      </c>
      <c r="I96" s="2">
        <v>391.71</v>
      </c>
      <c r="J96" s="2">
        <v>264.64999999999998</v>
      </c>
      <c r="K96" s="2">
        <v>127.06</v>
      </c>
      <c r="L96" s="2">
        <v>32.44</v>
      </c>
      <c r="M96" s="2">
        <v>391.71</v>
      </c>
      <c r="N96" s="2">
        <v>264.64999999999998</v>
      </c>
      <c r="O96" s="2">
        <v>113.05</v>
      </c>
      <c r="P96" s="2">
        <v>32.44</v>
      </c>
    </row>
    <row r="97" spans="1:16" x14ac:dyDescent="0.25">
      <c r="A97" t="s">
        <v>15</v>
      </c>
      <c r="B97" t="s">
        <v>16</v>
      </c>
      <c r="C97" t="s">
        <v>17</v>
      </c>
      <c r="D97" t="s">
        <v>177</v>
      </c>
      <c r="E97" t="s">
        <v>19</v>
      </c>
      <c r="F97" t="s">
        <v>50</v>
      </c>
      <c r="G97" s="1">
        <f>45667</f>
        <v>45667</v>
      </c>
      <c r="H97" t="s">
        <v>51</v>
      </c>
      <c r="I97" s="2">
        <v>1912.95</v>
      </c>
      <c r="J97" s="2">
        <v>1300.8</v>
      </c>
      <c r="K97" s="2">
        <v>612.15</v>
      </c>
      <c r="L97" s="2">
        <v>32</v>
      </c>
      <c r="M97" s="2">
        <v>1912.95</v>
      </c>
      <c r="N97" s="2">
        <v>1274.8</v>
      </c>
      <c r="O97" s="2">
        <v>638.15</v>
      </c>
      <c r="P97" s="2">
        <v>33.36</v>
      </c>
    </row>
    <row r="98" spans="1:16" x14ac:dyDescent="0.25">
      <c r="A98" t="s">
        <v>15</v>
      </c>
      <c r="B98" t="s">
        <v>16</v>
      </c>
      <c r="C98" t="s">
        <v>17</v>
      </c>
      <c r="D98" t="s">
        <v>178</v>
      </c>
      <c r="E98" t="s">
        <v>19</v>
      </c>
      <c r="F98" t="s">
        <v>50</v>
      </c>
      <c r="G98" s="1">
        <f>45671</f>
        <v>45671</v>
      </c>
      <c r="H98" t="s">
        <v>51</v>
      </c>
      <c r="I98" s="2">
        <v>919.8</v>
      </c>
      <c r="J98" s="2">
        <v>534</v>
      </c>
      <c r="K98" s="2">
        <v>385.8</v>
      </c>
      <c r="L98" s="2">
        <v>41.94</v>
      </c>
      <c r="M98" s="2">
        <v>459.9</v>
      </c>
      <c r="N98" s="2">
        <v>267</v>
      </c>
      <c r="O98" s="2">
        <v>138.9</v>
      </c>
      <c r="P98" s="2">
        <v>41.94</v>
      </c>
    </row>
    <row r="99" spans="1:16" x14ac:dyDescent="0.25">
      <c r="A99" t="s">
        <v>15</v>
      </c>
      <c r="B99" t="s">
        <v>16</v>
      </c>
      <c r="C99" t="s">
        <v>17</v>
      </c>
      <c r="D99" t="s">
        <v>179</v>
      </c>
      <c r="E99" t="s">
        <v>19</v>
      </c>
      <c r="F99" t="s">
        <v>50</v>
      </c>
      <c r="G99" s="1">
        <f>45672</f>
        <v>45672</v>
      </c>
      <c r="H99" t="s">
        <v>51</v>
      </c>
      <c r="I99" s="2">
        <v>2001.47</v>
      </c>
      <c r="J99" s="2">
        <v>1400.35</v>
      </c>
      <c r="K99" s="2">
        <v>601.12</v>
      </c>
      <c r="L99" s="2">
        <v>30.03</v>
      </c>
      <c r="M99" s="2">
        <v>2001.47</v>
      </c>
      <c r="N99" s="2">
        <v>1400.43</v>
      </c>
      <c r="O99" s="2">
        <v>573.58000000000004</v>
      </c>
      <c r="P99" s="2">
        <v>30.03</v>
      </c>
    </row>
    <row r="100" spans="1:16" x14ac:dyDescent="0.25">
      <c r="A100" t="s">
        <v>15</v>
      </c>
      <c r="B100" t="s">
        <v>16</v>
      </c>
      <c r="C100" t="s">
        <v>17</v>
      </c>
      <c r="D100" t="s">
        <v>180</v>
      </c>
      <c r="E100" t="s">
        <v>19</v>
      </c>
      <c r="F100" t="s">
        <v>181</v>
      </c>
      <c r="G100" s="1">
        <f>45677</f>
        <v>45677</v>
      </c>
      <c r="H100" t="s">
        <v>51</v>
      </c>
      <c r="I100" s="2">
        <v>1583.8</v>
      </c>
      <c r="J100" s="2">
        <v>1017.9</v>
      </c>
      <c r="K100" s="2">
        <v>565.9</v>
      </c>
      <c r="L100" s="2">
        <v>35.729999999999997</v>
      </c>
      <c r="M100" s="2">
        <v>1583.8</v>
      </c>
      <c r="N100" s="2">
        <v>1022.7</v>
      </c>
      <c r="O100" s="2">
        <v>533.6</v>
      </c>
      <c r="P100" s="2">
        <v>35.43</v>
      </c>
    </row>
    <row r="101" spans="1:16" x14ac:dyDescent="0.25">
      <c r="A101" t="s">
        <v>15</v>
      </c>
      <c r="B101" t="s">
        <v>16</v>
      </c>
      <c r="C101" t="s">
        <v>17</v>
      </c>
      <c r="D101" t="s">
        <v>182</v>
      </c>
      <c r="E101" t="s">
        <v>19</v>
      </c>
      <c r="F101" t="s">
        <v>172</v>
      </c>
      <c r="G101" s="1">
        <f>45679</f>
        <v>45679</v>
      </c>
      <c r="H101" t="s">
        <v>51</v>
      </c>
      <c r="I101" s="2">
        <v>198</v>
      </c>
      <c r="J101" s="2">
        <v>79.400000000000006</v>
      </c>
      <c r="K101" s="2">
        <v>118.6</v>
      </c>
      <c r="L101" s="2">
        <v>59.9</v>
      </c>
      <c r="M101" s="2">
        <v>198</v>
      </c>
      <c r="N101" s="2">
        <v>79.400000000000006</v>
      </c>
      <c r="O101" s="2">
        <v>109.6</v>
      </c>
      <c r="P101" s="2">
        <v>59.9</v>
      </c>
    </row>
    <row r="102" spans="1:16" x14ac:dyDescent="0.25">
      <c r="A102" t="s">
        <v>15</v>
      </c>
      <c r="B102" t="s">
        <v>16</v>
      </c>
      <c r="C102" t="s">
        <v>17</v>
      </c>
      <c r="D102" t="s">
        <v>183</v>
      </c>
      <c r="E102" t="s">
        <v>19</v>
      </c>
      <c r="F102" t="s">
        <v>184</v>
      </c>
      <c r="G102" s="1">
        <f>45679</f>
        <v>45679</v>
      </c>
      <c r="H102" t="s">
        <v>51</v>
      </c>
      <c r="I102" s="2">
        <v>1114.2</v>
      </c>
      <c r="J102" s="2">
        <v>715.01</v>
      </c>
      <c r="K102" s="2">
        <v>399.19</v>
      </c>
      <c r="L102" s="2">
        <v>35.83</v>
      </c>
      <c r="M102" s="2">
        <v>1114.2</v>
      </c>
      <c r="N102" s="2">
        <v>715.01</v>
      </c>
      <c r="O102" s="2">
        <v>392.81</v>
      </c>
      <c r="P102" s="2">
        <v>35.83</v>
      </c>
    </row>
    <row r="103" spans="1:16" x14ac:dyDescent="0.25">
      <c r="A103" t="s">
        <v>15</v>
      </c>
      <c r="B103" t="s">
        <v>16</v>
      </c>
      <c r="C103" t="s">
        <v>17</v>
      </c>
      <c r="D103" t="s">
        <v>185</v>
      </c>
      <c r="E103" t="s">
        <v>19</v>
      </c>
      <c r="F103" t="s">
        <v>186</v>
      </c>
      <c r="G103" s="1">
        <f>45660</f>
        <v>45660</v>
      </c>
      <c r="H103" t="s">
        <v>56</v>
      </c>
      <c r="I103" s="2">
        <v>180</v>
      </c>
      <c r="J103" s="2">
        <v>17</v>
      </c>
      <c r="K103" s="2">
        <v>163</v>
      </c>
      <c r="L103" s="2">
        <v>90.56</v>
      </c>
      <c r="M103" s="2">
        <v>180</v>
      </c>
      <c r="N103" s="2">
        <v>17</v>
      </c>
      <c r="O103" s="2">
        <v>163</v>
      </c>
      <c r="P103" s="2">
        <v>90.56</v>
      </c>
    </row>
    <row r="104" spans="1:16" x14ac:dyDescent="0.25">
      <c r="A104" t="s">
        <v>15</v>
      </c>
      <c r="B104" t="s">
        <v>16</v>
      </c>
      <c r="C104" t="s">
        <v>187</v>
      </c>
      <c r="D104" t="s">
        <v>188</v>
      </c>
      <c r="E104" t="s">
        <v>19</v>
      </c>
      <c r="F104" t="s">
        <v>189</v>
      </c>
      <c r="G104" s="1">
        <f>45659</f>
        <v>45659</v>
      </c>
      <c r="H104" t="s">
        <v>51</v>
      </c>
      <c r="I104" s="2">
        <v>2932.06</v>
      </c>
      <c r="J104" s="2">
        <v>1977.25</v>
      </c>
      <c r="K104" s="2">
        <v>954.81</v>
      </c>
      <c r="L104" s="2">
        <v>32.56</v>
      </c>
      <c r="M104" s="2">
        <v>2932.06</v>
      </c>
      <c r="N104" s="2">
        <v>1994.23</v>
      </c>
      <c r="O104" s="2">
        <v>837.83</v>
      </c>
      <c r="P104" s="2">
        <v>31.99</v>
      </c>
    </row>
    <row r="105" spans="1:16" x14ac:dyDescent="0.25">
      <c r="A105" t="s">
        <v>15</v>
      </c>
      <c r="B105" t="s">
        <v>16</v>
      </c>
      <c r="C105" t="s">
        <v>187</v>
      </c>
      <c r="D105" t="s">
        <v>190</v>
      </c>
      <c r="E105" t="s">
        <v>19</v>
      </c>
      <c r="F105" t="s">
        <v>191</v>
      </c>
      <c r="G105" s="1">
        <f>45663</f>
        <v>45663</v>
      </c>
      <c r="H105" t="s">
        <v>51</v>
      </c>
      <c r="I105" s="2">
        <v>248</v>
      </c>
      <c r="J105" s="2">
        <v>162.58000000000001</v>
      </c>
      <c r="K105" s="2">
        <v>85.42</v>
      </c>
      <c r="L105" s="2">
        <v>34.44</v>
      </c>
      <c r="M105" s="2">
        <v>248</v>
      </c>
      <c r="N105" s="2">
        <v>162.58000000000001</v>
      </c>
      <c r="O105" s="2">
        <v>76.42</v>
      </c>
      <c r="P105" s="2">
        <v>34.44</v>
      </c>
    </row>
    <row r="106" spans="1:16" x14ac:dyDescent="0.25">
      <c r="A106" t="s">
        <v>15</v>
      </c>
      <c r="B106" t="s">
        <v>16</v>
      </c>
      <c r="C106" t="s">
        <v>187</v>
      </c>
      <c r="D106" t="s">
        <v>192</v>
      </c>
      <c r="E106" t="s">
        <v>19</v>
      </c>
      <c r="F106" t="s">
        <v>193</v>
      </c>
      <c r="G106" s="1">
        <f>45663</f>
        <v>45663</v>
      </c>
      <c r="H106" t="s">
        <v>51</v>
      </c>
      <c r="I106" s="2">
        <v>2582</v>
      </c>
      <c r="J106" s="2">
        <v>1714.38</v>
      </c>
      <c r="K106" s="2">
        <v>867.62</v>
      </c>
      <c r="L106" s="2">
        <v>33.6</v>
      </c>
      <c r="M106" s="2">
        <v>2582</v>
      </c>
      <c r="N106" s="2">
        <v>1755.76</v>
      </c>
      <c r="O106" s="2">
        <v>808.7</v>
      </c>
      <c r="P106" s="2">
        <v>32</v>
      </c>
    </row>
    <row r="107" spans="1:16" x14ac:dyDescent="0.25">
      <c r="A107" t="s">
        <v>15</v>
      </c>
      <c r="B107" t="s">
        <v>16</v>
      </c>
      <c r="C107" t="s">
        <v>187</v>
      </c>
      <c r="D107" t="s">
        <v>194</v>
      </c>
      <c r="E107" t="s">
        <v>19</v>
      </c>
      <c r="F107" t="s">
        <v>189</v>
      </c>
      <c r="G107" s="1">
        <f>45664</f>
        <v>45664</v>
      </c>
      <c r="H107" t="s">
        <v>51</v>
      </c>
      <c r="I107" s="2">
        <v>162</v>
      </c>
      <c r="J107" s="2">
        <v>45</v>
      </c>
      <c r="K107" s="2">
        <v>117</v>
      </c>
      <c r="L107" s="2">
        <v>72.22</v>
      </c>
      <c r="M107" s="2">
        <v>162</v>
      </c>
      <c r="N107" s="2">
        <v>45</v>
      </c>
      <c r="O107" s="2">
        <v>108</v>
      </c>
      <c r="P107" s="2">
        <v>72.22</v>
      </c>
    </row>
    <row r="108" spans="1:16" x14ac:dyDescent="0.25">
      <c r="A108" t="s">
        <v>15</v>
      </c>
      <c r="B108" t="s">
        <v>16</v>
      </c>
      <c r="C108" t="s">
        <v>187</v>
      </c>
      <c r="D108" t="s">
        <v>195</v>
      </c>
      <c r="E108" t="s">
        <v>19</v>
      </c>
      <c r="F108" t="s">
        <v>196</v>
      </c>
      <c r="G108" s="1">
        <f>45664</f>
        <v>45664</v>
      </c>
      <c r="H108" t="s">
        <v>51</v>
      </c>
      <c r="I108" s="2">
        <v>2611</v>
      </c>
      <c r="J108" s="2">
        <v>1923.62</v>
      </c>
      <c r="K108" s="2">
        <v>687.38</v>
      </c>
      <c r="L108" s="2">
        <v>26.33</v>
      </c>
      <c r="M108" s="2">
        <v>2611</v>
      </c>
      <c r="N108" s="2">
        <v>1923.62</v>
      </c>
      <c r="O108" s="2">
        <v>642.44000000000005</v>
      </c>
      <c r="P108" s="2">
        <v>26.33</v>
      </c>
    </row>
    <row r="109" spans="1:16" x14ac:dyDescent="0.25">
      <c r="A109" t="s">
        <v>15</v>
      </c>
      <c r="B109" t="s">
        <v>16</v>
      </c>
      <c r="C109" t="s">
        <v>187</v>
      </c>
      <c r="D109" t="s">
        <v>197</v>
      </c>
      <c r="E109" t="s">
        <v>19</v>
      </c>
      <c r="F109" t="s">
        <v>198</v>
      </c>
      <c r="G109" s="1">
        <f>45664</f>
        <v>45664</v>
      </c>
      <c r="H109" t="s">
        <v>51</v>
      </c>
      <c r="I109" s="2">
        <v>312</v>
      </c>
      <c r="J109" s="2">
        <v>206.6</v>
      </c>
      <c r="K109" s="2">
        <v>105.4</v>
      </c>
      <c r="L109" s="2">
        <v>33.78</v>
      </c>
      <c r="M109" s="2">
        <v>312</v>
      </c>
      <c r="N109" s="2">
        <v>206.6</v>
      </c>
      <c r="O109" s="2">
        <v>46.4</v>
      </c>
      <c r="P109" s="2">
        <v>33.78</v>
      </c>
    </row>
    <row r="110" spans="1:16" x14ac:dyDescent="0.25">
      <c r="A110" t="s">
        <v>15</v>
      </c>
      <c r="B110" t="s">
        <v>16</v>
      </c>
      <c r="C110" t="s">
        <v>187</v>
      </c>
      <c r="D110" t="s">
        <v>199</v>
      </c>
      <c r="E110" t="s">
        <v>47</v>
      </c>
      <c r="F110" t="s">
        <v>200</v>
      </c>
      <c r="G110" s="1">
        <f>45665</f>
        <v>45665</v>
      </c>
      <c r="H110" t="s">
        <v>51</v>
      </c>
      <c r="I110" s="2">
        <v>31348.799999999999</v>
      </c>
      <c r="J110" s="2">
        <v>20896.560000000001</v>
      </c>
      <c r="K110" s="2">
        <v>10452.24</v>
      </c>
      <c r="L110" s="2">
        <v>33.340000000000003</v>
      </c>
      <c r="M110" s="2">
        <v>31348.799999999999</v>
      </c>
      <c r="N110" s="2">
        <v>20914.3</v>
      </c>
      <c r="O110" s="2">
        <v>10104.5</v>
      </c>
      <c r="P110" s="2">
        <v>33.29</v>
      </c>
    </row>
    <row r="111" spans="1:16" x14ac:dyDescent="0.25">
      <c r="A111" t="s">
        <v>15</v>
      </c>
      <c r="B111" t="s">
        <v>16</v>
      </c>
      <c r="C111" t="s">
        <v>187</v>
      </c>
      <c r="D111" t="s">
        <v>201</v>
      </c>
      <c r="E111" t="s">
        <v>19</v>
      </c>
      <c r="F111" t="s">
        <v>202</v>
      </c>
      <c r="G111" s="1">
        <f>45670</f>
        <v>45670</v>
      </c>
      <c r="H111" t="s">
        <v>51</v>
      </c>
      <c r="I111" s="2">
        <v>1787.2</v>
      </c>
      <c r="J111" s="2">
        <v>891.89</v>
      </c>
      <c r="K111" s="2">
        <v>895.31</v>
      </c>
      <c r="L111" s="2">
        <v>50.1</v>
      </c>
      <c r="M111" s="2">
        <v>1787.2</v>
      </c>
      <c r="N111" s="2">
        <v>892.56</v>
      </c>
      <c r="O111" s="2">
        <v>848.64</v>
      </c>
      <c r="P111" s="2">
        <v>50.06</v>
      </c>
    </row>
    <row r="112" spans="1:16" x14ac:dyDescent="0.25">
      <c r="A112" t="s">
        <v>15</v>
      </c>
      <c r="B112" t="s">
        <v>16</v>
      </c>
      <c r="C112" t="s">
        <v>187</v>
      </c>
      <c r="D112" t="s">
        <v>203</v>
      </c>
      <c r="E112" t="s">
        <v>19</v>
      </c>
      <c r="F112" t="s">
        <v>204</v>
      </c>
      <c r="G112" s="1">
        <f>45671</f>
        <v>45671</v>
      </c>
      <c r="H112" t="s">
        <v>51</v>
      </c>
      <c r="I112" s="2">
        <v>441.9</v>
      </c>
      <c r="J112" s="2">
        <v>291</v>
      </c>
      <c r="K112" s="2">
        <v>150.9</v>
      </c>
      <c r="L112" s="2">
        <v>34.15</v>
      </c>
      <c r="M112" s="2">
        <v>441.9</v>
      </c>
      <c r="N112" s="2">
        <v>291</v>
      </c>
      <c r="O112" s="2">
        <v>99.9</v>
      </c>
      <c r="P112" s="2">
        <v>34.15</v>
      </c>
    </row>
    <row r="113" spans="1:16" x14ac:dyDescent="0.25">
      <c r="A113" t="s">
        <v>15</v>
      </c>
      <c r="B113" t="s">
        <v>16</v>
      </c>
      <c r="C113" t="s">
        <v>187</v>
      </c>
      <c r="D113" t="s">
        <v>205</v>
      </c>
      <c r="E113" t="s">
        <v>19</v>
      </c>
      <c r="F113" t="s">
        <v>206</v>
      </c>
      <c r="G113" s="1">
        <f>45671</f>
        <v>45671</v>
      </c>
      <c r="H113" t="s">
        <v>51</v>
      </c>
      <c r="I113" s="2">
        <v>4773.6000000000004</v>
      </c>
      <c r="J113" s="2">
        <v>3437</v>
      </c>
      <c r="K113" s="2">
        <v>1336.6</v>
      </c>
      <c r="L113" s="2">
        <v>28</v>
      </c>
      <c r="M113" s="2">
        <v>4773.6000000000004</v>
      </c>
      <c r="N113" s="2">
        <v>3437</v>
      </c>
      <c r="O113" s="2">
        <v>1336.6</v>
      </c>
      <c r="P113" s="2">
        <v>28</v>
      </c>
    </row>
    <row r="114" spans="1:16" x14ac:dyDescent="0.25">
      <c r="A114" t="s">
        <v>15</v>
      </c>
      <c r="B114" t="s">
        <v>16</v>
      </c>
      <c r="C114" t="s">
        <v>187</v>
      </c>
      <c r="D114" t="s">
        <v>207</v>
      </c>
      <c r="E114" t="s">
        <v>19</v>
      </c>
      <c r="F114" t="s">
        <v>208</v>
      </c>
      <c r="G114" s="1">
        <f>45671</f>
        <v>45671</v>
      </c>
      <c r="H114" t="s">
        <v>51</v>
      </c>
      <c r="I114" s="2">
        <v>694.6</v>
      </c>
      <c r="J114" s="2">
        <v>468.14</v>
      </c>
      <c r="K114" s="2">
        <v>226.46</v>
      </c>
      <c r="L114" s="2">
        <v>32.6</v>
      </c>
      <c r="M114" s="2">
        <v>694.6</v>
      </c>
      <c r="N114" s="2">
        <v>468.14</v>
      </c>
      <c r="O114" s="2">
        <v>199.92</v>
      </c>
      <c r="P114" s="2">
        <v>32.6</v>
      </c>
    </row>
    <row r="115" spans="1:16" x14ac:dyDescent="0.25">
      <c r="A115" t="s">
        <v>15</v>
      </c>
      <c r="B115" t="s">
        <v>16</v>
      </c>
      <c r="C115" t="s">
        <v>187</v>
      </c>
      <c r="D115" t="s">
        <v>209</v>
      </c>
      <c r="E115" t="s">
        <v>19</v>
      </c>
      <c r="F115" t="s">
        <v>191</v>
      </c>
      <c r="G115" s="1">
        <f>45672</f>
        <v>45672</v>
      </c>
      <c r="H115" t="s">
        <v>51</v>
      </c>
      <c r="I115" s="2">
        <v>539.20000000000005</v>
      </c>
      <c r="J115" s="2">
        <v>310.89999999999998</v>
      </c>
      <c r="K115" s="2">
        <v>228.3</v>
      </c>
      <c r="L115" s="2">
        <v>42.34</v>
      </c>
      <c r="M115" s="2">
        <v>539.20000000000005</v>
      </c>
      <c r="N115" s="2">
        <v>319.3</v>
      </c>
      <c r="O115" s="2">
        <v>210.9</v>
      </c>
      <c r="P115" s="2">
        <v>40.78</v>
      </c>
    </row>
    <row r="116" spans="1:16" x14ac:dyDescent="0.25">
      <c r="A116" t="s">
        <v>15</v>
      </c>
      <c r="B116" t="s">
        <v>16</v>
      </c>
      <c r="C116" t="s">
        <v>187</v>
      </c>
      <c r="D116" t="s">
        <v>210</v>
      </c>
      <c r="E116" t="s">
        <v>19</v>
      </c>
      <c r="F116" t="s">
        <v>211</v>
      </c>
      <c r="G116" s="1">
        <f>45672</f>
        <v>45672</v>
      </c>
      <c r="H116" t="s">
        <v>51</v>
      </c>
      <c r="I116" s="2">
        <v>742.1</v>
      </c>
      <c r="J116" s="2">
        <v>432.23</v>
      </c>
      <c r="K116" s="2">
        <v>309.87</v>
      </c>
      <c r="L116" s="2">
        <v>41.76</v>
      </c>
      <c r="M116" s="2">
        <v>742.1</v>
      </c>
      <c r="N116" s="2">
        <v>432.23</v>
      </c>
      <c r="O116" s="2">
        <v>270.87</v>
      </c>
      <c r="P116" s="2">
        <v>41.76</v>
      </c>
    </row>
    <row r="117" spans="1:16" x14ac:dyDescent="0.25">
      <c r="A117" t="s">
        <v>15</v>
      </c>
      <c r="B117" t="s">
        <v>16</v>
      </c>
      <c r="C117" t="s">
        <v>187</v>
      </c>
      <c r="D117" t="s">
        <v>212</v>
      </c>
      <c r="E117" t="s">
        <v>19</v>
      </c>
      <c r="F117" t="s">
        <v>213</v>
      </c>
      <c r="G117" s="1">
        <f>45672</f>
        <v>45672</v>
      </c>
      <c r="H117" t="s">
        <v>51</v>
      </c>
      <c r="I117" s="2">
        <v>289.8</v>
      </c>
      <c r="J117" s="2">
        <v>180.86</v>
      </c>
      <c r="K117" s="2">
        <v>108.94</v>
      </c>
      <c r="L117" s="2">
        <v>37.590000000000003</v>
      </c>
      <c r="M117" s="2">
        <v>289.8</v>
      </c>
      <c r="N117" s="2">
        <v>180.86</v>
      </c>
      <c r="O117" s="2">
        <v>94.94</v>
      </c>
      <c r="P117" s="2">
        <v>37.590000000000003</v>
      </c>
    </row>
    <row r="118" spans="1:16" x14ac:dyDescent="0.25">
      <c r="A118" t="s">
        <v>15</v>
      </c>
      <c r="B118" t="s">
        <v>16</v>
      </c>
      <c r="C118" t="s">
        <v>187</v>
      </c>
      <c r="D118" t="s">
        <v>214</v>
      </c>
      <c r="E118" t="s">
        <v>19</v>
      </c>
      <c r="F118" t="s">
        <v>215</v>
      </c>
      <c r="G118" s="1">
        <f>45673</f>
        <v>45673</v>
      </c>
      <c r="H118" t="s">
        <v>51</v>
      </c>
      <c r="I118" s="2">
        <v>487.2</v>
      </c>
      <c r="J118" s="2">
        <v>326.08</v>
      </c>
      <c r="K118" s="2">
        <v>161.12</v>
      </c>
      <c r="L118" s="2">
        <v>33.07</v>
      </c>
      <c r="M118" s="2">
        <v>487.2</v>
      </c>
      <c r="N118" s="2">
        <v>326.08</v>
      </c>
      <c r="O118" s="2">
        <v>123.12</v>
      </c>
      <c r="P118" s="2">
        <v>33.07</v>
      </c>
    </row>
    <row r="119" spans="1:16" x14ac:dyDescent="0.25">
      <c r="A119" t="s">
        <v>15</v>
      </c>
      <c r="B119" t="s">
        <v>16</v>
      </c>
      <c r="C119" t="s">
        <v>187</v>
      </c>
      <c r="D119" t="s">
        <v>216</v>
      </c>
      <c r="E119" t="s">
        <v>19</v>
      </c>
      <c r="F119" t="s">
        <v>217</v>
      </c>
      <c r="G119" s="1">
        <f>45673</f>
        <v>45673</v>
      </c>
      <c r="H119" t="s">
        <v>51</v>
      </c>
      <c r="I119" s="2">
        <v>259.12</v>
      </c>
      <c r="J119" s="2">
        <v>157.19999999999999</v>
      </c>
      <c r="K119" s="2">
        <v>101.92</v>
      </c>
      <c r="L119" s="2">
        <v>39.33</v>
      </c>
      <c r="M119" s="2">
        <v>259.12</v>
      </c>
      <c r="N119" s="2">
        <v>157.19999999999999</v>
      </c>
      <c r="O119" s="2">
        <v>92.92</v>
      </c>
      <c r="P119" s="2">
        <v>39.33</v>
      </c>
    </row>
    <row r="120" spans="1:16" x14ac:dyDescent="0.25">
      <c r="A120" t="s">
        <v>15</v>
      </c>
      <c r="B120" t="s">
        <v>16</v>
      </c>
      <c r="C120" t="s">
        <v>187</v>
      </c>
      <c r="D120" t="s">
        <v>218</v>
      </c>
      <c r="E120" t="s">
        <v>19</v>
      </c>
      <c r="F120" t="s">
        <v>219</v>
      </c>
      <c r="G120" s="1">
        <f>45674</f>
        <v>45674</v>
      </c>
      <c r="H120" t="s">
        <v>51</v>
      </c>
      <c r="I120" s="2">
        <v>169.25</v>
      </c>
      <c r="J120" s="2">
        <v>119.39</v>
      </c>
      <c r="K120" s="2">
        <v>49.87</v>
      </c>
      <c r="L120" s="2">
        <v>29.46</v>
      </c>
      <c r="M120" s="2">
        <v>169.25</v>
      </c>
      <c r="N120" s="2">
        <v>119.39</v>
      </c>
      <c r="O120" s="2">
        <v>38.700000000000003</v>
      </c>
      <c r="P120" s="2">
        <v>29.46</v>
      </c>
    </row>
    <row r="121" spans="1:16" x14ac:dyDescent="0.25">
      <c r="A121" t="s">
        <v>15</v>
      </c>
      <c r="B121" t="s">
        <v>16</v>
      </c>
      <c r="C121" t="s">
        <v>187</v>
      </c>
      <c r="D121" t="s">
        <v>220</v>
      </c>
      <c r="E121" t="s">
        <v>19</v>
      </c>
      <c r="F121" t="s">
        <v>189</v>
      </c>
      <c r="G121" s="1">
        <f>45673</f>
        <v>45673</v>
      </c>
      <c r="H121" t="s">
        <v>51</v>
      </c>
      <c r="I121" s="2">
        <v>5382.06</v>
      </c>
      <c r="J121" s="2">
        <v>3651</v>
      </c>
      <c r="K121" s="2">
        <v>1731.06</v>
      </c>
      <c r="L121" s="2">
        <v>32.159999999999997</v>
      </c>
      <c r="M121" s="2">
        <v>5382.06</v>
      </c>
      <c r="N121" s="2">
        <v>3651</v>
      </c>
      <c r="O121" s="2">
        <v>1606.06</v>
      </c>
      <c r="P121" s="2">
        <v>32.159999999999997</v>
      </c>
    </row>
    <row r="122" spans="1:16" x14ac:dyDescent="0.25">
      <c r="A122" t="s">
        <v>15</v>
      </c>
      <c r="B122" t="s">
        <v>16</v>
      </c>
      <c r="C122" t="s">
        <v>187</v>
      </c>
      <c r="D122" t="s">
        <v>221</v>
      </c>
      <c r="E122" t="s">
        <v>19</v>
      </c>
      <c r="F122" t="s">
        <v>222</v>
      </c>
      <c r="G122" s="1">
        <f>45677</f>
        <v>45677</v>
      </c>
      <c r="H122" t="s">
        <v>51</v>
      </c>
      <c r="I122" s="2">
        <v>585</v>
      </c>
      <c r="J122" s="2">
        <v>374.95</v>
      </c>
      <c r="K122" s="2">
        <v>210.05</v>
      </c>
      <c r="L122" s="2">
        <v>35.909999999999997</v>
      </c>
      <c r="M122" s="2">
        <v>585</v>
      </c>
      <c r="N122" s="2">
        <v>374.95</v>
      </c>
      <c r="O122" s="2">
        <v>201.05</v>
      </c>
      <c r="P122" s="2">
        <v>35.909999999999997</v>
      </c>
    </row>
    <row r="123" spans="1:16" x14ac:dyDescent="0.25">
      <c r="A123" t="s">
        <v>15</v>
      </c>
      <c r="B123" t="s">
        <v>16</v>
      </c>
      <c r="C123" t="s">
        <v>187</v>
      </c>
      <c r="D123" t="s">
        <v>223</v>
      </c>
      <c r="E123" t="s">
        <v>19</v>
      </c>
      <c r="F123" t="s">
        <v>224</v>
      </c>
      <c r="G123" s="1">
        <f>45677</f>
        <v>45677</v>
      </c>
      <c r="H123" t="s">
        <v>51</v>
      </c>
      <c r="I123" s="2">
        <v>6037.8</v>
      </c>
      <c r="J123" s="2">
        <v>4354.71</v>
      </c>
      <c r="K123" s="2">
        <v>1683.09</v>
      </c>
      <c r="L123" s="2">
        <v>27.88</v>
      </c>
      <c r="M123" s="2">
        <v>6037.8</v>
      </c>
      <c r="N123" s="2">
        <v>4354.71</v>
      </c>
      <c r="O123" s="2">
        <v>1625.57</v>
      </c>
      <c r="P123" s="2">
        <v>27.88</v>
      </c>
    </row>
    <row r="124" spans="1:16" x14ac:dyDescent="0.25">
      <c r="A124" t="s">
        <v>15</v>
      </c>
      <c r="B124" t="s">
        <v>16</v>
      </c>
      <c r="C124" t="s">
        <v>187</v>
      </c>
      <c r="D124" t="s">
        <v>225</v>
      </c>
      <c r="E124" t="s">
        <v>47</v>
      </c>
      <c r="F124" t="s">
        <v>226</v>
      </c>
      <c r="G124" s="1">
        <f>45677</f>
        <v>45677</v>
      </c>
      <c r="H124" t="s">
        <v>84</v>
      </c>
      <c r="I124" s="2">
        <v>0</v>
      </c>
      <c r="J124" s="2">
        <v>0</v>
      </c>
      <c r="K124" s="2">
        <v>0</v>
      </c>
      <c r="L124" s="2">
        <v>0</v>
      </c>
      <c r="M124" s="2">
        <v>66.709999999999994</v>
      </c>
      <c r="N124" s="2">
        <v>40.64</v>
      </c>
      <c r="O124" s="2">
        <v>26.07</v>
      </c>
      <c r="P124" s="2">
        <v>39.08</v>
      </c>
    </row>
    <row r="125" spans="1:16" x14ac:dyDescent="0.25">
      <c r="A125" t="s">
        <v>15</v>
      </c>
      <c r="B125" t="s">
        <v>16</v>
      </c>
      <c r="C125" t="s">
        <v>187</v>
      </c>
      <c r="D125" t="s">
        <v>227</v>
      </c>
      <c r="E125" t="s">
        <v>19</v>
      </c>
      <c r="F125" t="s">
        <v>228</v>
      </c>
      <c r="G125" s="1">
        <f>45679</f>
        <v>45679</v>
      </c>
      <c r="H125" t="s">
        <v>51</v>
      </c>
      <c r="I125" s="2">
        <v>1032</v>
      </c>
      <c r="J125" s="2">
        <v>495</v>
      </c>
      <c r="K125" s="2">
        <v>537</v>
      </c>
      <c r="L125" s="2">
        <v>52.03</v>
      </c>
      <c r="M125" s="2">
        <v>1032</v>
      </c>
      <c r="N125" s="2">
        <v>495</v>
      </c>
      <c r="O125" s="2">
        <v>537</v>
      </c>
      <c r="P125" s="2">
        <v>52.03</v>
      </c>
    </row>
    <row r="126" spans="1:16" x14ac:dyDescent="0.25">
      <c r="A126" t="s">
        <v>15</v>
      </c>
      <c r="B126" t="s">
        <v>16</v>
      </c>
      <c r="C126" t="s">
        <v>187</v>
      </c>
      <c r="D126" t="s">
        <v>229</v>
      </c>
      <c r="E126" t="s">
        <v>19</v>
      </c>
      <c r="F126" t="s">
        <v>189</v>
      </c>
      <c r="G126" s="1">
        <f>45679</f>
        <v>45679</v>
      </c>
      <c r="H126" t="s">
        <v>51</v>
      </c>
      <c r="I126" s="2">
        <v>634</v>
      </c>
      <c r="J126" s="2">
        <v>395.1</v>
      </c>
      <c r="K126" s="2">
        <v>238.9</v>
      </c>
      <c r="L126" s="2">
        <v>37.68</v>
      </c>
      <c r="M126" s="2">
        <v>634</v>
      </c>
      <c r="N126" s="2">
        <v>395.1</v>
      </c>
      <c r="O126" s="2">
        <v>199.9</v>
      </c>
      <c r="P126" s="2">
        <v>37.68</v>
      </c>
    </row>
    <row r="127" spans="1:16" x14ac:dyDescent="0.25">
      <c r="A127" t="s">
        <v>15</v>
      </c>
      <c r="B127" t="s">
        <v>16</v>
      </c>
      <c r="C127" t="s">
        <v>187</v>
      </c>
      <c r="D127" t="s">
        <v>230</v>
      </c>
      <c r="E127" t="s">
        <v>19</v>
      </c>
      <c r="F127" t="s">
        <v>224</v>
      </c>
      <c r="G127" s="1">
        <f>45679</f>
        <v>45679</v>
      </c>
      <c r="H127" t="s">
        <v>51</v>
      </c>
      <c r="I127" s="2">
        <v>8510.9</v>
      </c>
      <c r="J127" s="2">
        <v>6137.69</v>
      </c>
      <c r="K127" s="2">
        <v>2373.21</v>
      </c>
      <c r="L127" s="2">
        <v>27.88</v>
      </c>
      <c r="M127" s="2">
        <v>8510.9</v>
      </c>
      <c r="N127" s="2">
        <v>6137.69</v>
      </c>
      <c r="O127" s="2">
        <v>2295.9499999999998</v>
      </c>
      <c r="P127" s="2">
        <v>27.88</v>
      </c>
    </row>
    <row r="128" spans="1:16" x14ac:dyDescent="0.25">
      <c r="A128" t="s">
        <v>15</v>
      </c>
      <c r="B128" t="s">
        <v>16</v>
      </c>
      <c r="C128" t="s">
        <v>187</v>
      </c>
      <c r="D128" t="s">
        <v>231</v>
      </c>
      <c r="E128" t="s">
        <v>19</v>
      </c>
      <c r="F128" t="s">
        <v>191</v>
      </c>
      <c r="G128" s="1">
        <f>45679</f>
        <v>45679</v>
      </c>
      <c r="H128" t="s">
        <v>51</v>
      </c>
      <c r="I128" s="2">
        <v>6895.8</v>
      </c>
      <c r="J128" s="2">
        <v>4965</v>
      </c>
      <c r="K128" s="2">
        <v>1930.8</v>
      </c>
      <c r="L128" s="2">
        <v>28</v>
      </c>
      <c r="M128" s="2">
        <v>6895.8</v>
      </c>
      <c r="N128" s="2">
        <v>4965</v>
      </c>
      <c r="O128" s="2">
        <v>1809.8</v>
      </c>
      <c r="P128" s="2">
        <v>28</v>
      </c>
    </row>
    <row r="129" spans="1:16" x14ac:dyDescent="0.25">
      <c r="A129" t="s">
        <v>15</v>
      </c>
      <c r="B129" t="s">
        <v>16</v>
      </c>
      <c r="C129" t="s">
        <v>187</v>
      </c>
      <c r="D129" t="s">
        <v>232</v>
      </c>
      <c r="E129" t="s">
        <v>19</v>
      </c>
      <c r="F129" t="s">
        <v>233</v>
      </c>
      <c r="G129" s="1">
        <f>45680</f>
        <v>45680</v>
      </c>
      <c r="H129" t="s">
        <v>51</v>
      </c>
      <c r="I129" s="2">
        <v>396.6</v>
      </c>
      <c r="J129" s="2">
        <v>270.2</v>
      </c>
      <c r="K129" s="2">
        <v>126.4</v>
      </c>
      <c r="L129" s="2">
        <v>31.87</v>
      </c>
      <c r="M129" s="2">
        <v>396.6</v>
      </c>
      <c r="N129" s="2">
        <v>270.2</v>
      </c>
      <c r="O129" s="2">
        <v>67.400000000000006</v>
      </c>
      <c r="P129" s="2">
        <v>31.87</v>
      </c>
    </row>
    <row r="130" spans="1:16" x14ac:dyDescent="0.25">
      <c r="A130" t="s">
        <v>15</v>
      </c>
      <c r="B130" t="s">
        <v>16</v>
      </c>
      <c r="C130" t="s">
        <v>187</v>
      </c>
      <c r="D130" t="s">
        <v>234</v>
      </c>
      <c r="E130" t="s">
        <v>19</v>
      </c>
      <c r="F130" t="s">
        <v>235</v>
      </c>
      <c r="G130" s="1">
        <f>45680</f>
        <v>45680</v>
      </c>
      <c r="H130" t="s">
        <v>51</v>
      </c>
      <c r="I130" s="2">
        <v>839.1</v>
      </c>
      <c r="J130" s="2">
        <v>580.97</v>
      </c>
      <c r="K130" s="2">
        <v>258.13</v>
      </c>
      <c r="L130" s="2">
        <v>30.76</v>
      </c>
      <c r="M130" s="2">
        <v>839.1</v>
      </c>
      <c r="N130" s="2">
        <v>580.97</v>
      </c>
      <c r="O130" s="2">
        <v>214.13</v>
      </c>
      <c r="P130" s="2">
        <v>30.76</v>
      </c>
    </row>
    <row r="131" spans="1:16" x14ac:dyDescent="0.25">
      <c r="A131" t="s">
        <v>15</v>
      </c>
      <c r="B131" t="s">
        <v>16</v>
      </c>
      <c r="C131" t="s">
        <v>187</v>
      </c>
      <c r="D131" t="s">
        <v>236</v>
      </c>
      <c r="E131" t="s">
        <v>19</v>
      </c>
      <c r="F131" t="s">
        <v>191</v>
      </c>
      <c r="G131" s="1">
        <f>45680</f>
        <v>45680</v>
      </c>
      <c r="H131" t="s">
        <v>51</v>
      </c>
      <c r="I131" s="2">
        <v>2930.4</v>
      </c>
      <c r="J131" s="2">
        <v>1877.27</v>
      </c>
      <c r="K131" s="2">
        <v>1053.1300000000001</v>
      </c>
      <c r="L131" s="2">
        <v>35.94</v>
      </c>
      <c r="M131" s="2">
        <v>2930.4</v>
      </c>
      <c r="N131" s="2">
        <v>1877.27</v>
      </c>
      <c r="O131" s="2">
        <v>1017.89</v>
      </c>
      <c r="P131" s="2">
        <v>35.94</v>
      </c>
    </row>
    <row r="132" spans="1:16" x14ac:dyDescent="0.25">
      <c r="A132" t="s">
        <v>15</v>
      </c>
      <c r="B132" t="s">
        <v>16</v>
      </c>
      <c r="C132" t="s">
        <v>187</v>
      </c>
      <c r="D132" t="s">
        <v>237</v>
      </c>
      <c r="E132" t="s">
        <v>19</v>
      </c>
      <c r="F132" t="s">
        <v>189</v>
      </c>
      <c r="G132" s="1">
        <f>45681</f>
        <v>45681</v>
      </c>
      <c r="H132" t="s">
        <v>51</v>
      </c>
      <c r="I132" s="2">
        <v>363.9</v>
      </c>
      <c r="J132" s="2">
        <v>145.75</v>
      </c>
      <c r="K132" s="2">
        <v>218.15</v>
      </c>
      <c r="L132" s="2">
        <v>59.95</v>
      </c>
      <c r="M132" s="2">
        <v>363.9</v>
      </c>
      <c r="N132" s="2">
        <v>145.75</v>
      </c>
      <c r="O132" s="2">
        <v>208.15</v>
      </c>
      <c r="P132" s="2">
        <v>59.95</v>
      </c>
    </row>
    <row r="133" spans="1:16" x14ac:dyDescent="0.25">
      <c r="A133" t="s">
        <v>15</v>
      </c>
      <c r="B133" t="s">
        <v>16</v>
      </c>
      <c r="C133" t="s">
        <v>187</v>
      </c>
      <c r="D133" t="s">
        <v>238</v>
      </c>
      <c r="E133" t="s">
        <v>19</v>
      </c>
      <c r="F133" t="s">
        <v>189</v>
      </c>
      <c r="G133" s="1">
        <f>45681</f>
        <v>45681</v>
      </c>
      <c r="H133" t="s">
        <v>51</v>
      </c>
      <c r="I133" s="2">
        <v>5148.1000000000004</v>
      </c>
      <c r="J133" s="2">
        <v>3592.33</v>
      </c>
      <c r="K133" s="2">
        <v>1555.77</v>
      </c>
      <c r="L133" s="2">
        <v>30.22</v>
      </c>
      <c r="M133" s="2">
        <v>5148.1000000000004</v>
      </c>
      <c r="N133" s="2">
        <v>3592.33</v>
      </c>
      <c r="O133" s="2">
        <v>1525.77</v>
      </c>
      <c r="P133" s="2">
        <v>30.22</v>
      </c>
    </row>
    <row r="134" spans="1:16" x14ac:dyDescent="0.25">
      <c r="A134" t="s">
        <v>15</v>
      </c>
      <c r="B134" t="s">
        <v>16</v>
      </c>
      <c r="C134" t="s">
        <v>187</v>
      </c>
      <c r="D134" t="s">
        <v>239</v>
      </c>
      <c r="E134" t="s">
        <v>19</v>
      </c>
      <c r="F134" t="s">
        <v>193</v>
      </c>
      <c r="G134" s="1">
        <f>45684</f>
        <v>45684</v>
      </c>
      <c r="H134" t="s">
        <v>51</v>
      </c>
      <c r="I134" s="2">
        <v>1752.2</v>
      </c>
      <c r="J134" s="2">
        <v>1285.75</v>
      </c>
      <c r="K134" s="2">
        <v>466.45</v>
      </c>
      <c r="L134" s="2">
        <v>26.62</v>
      </c>
      <c r="M134" s="2">
        <v>1752.2</v>
      </c>
      <c r="N134" s="2">
        <v>1285.75</v>
      </c>
      <c r="O134" s="2">
        <v>422.45</v>
      </c>
      <c r="P134" s="2">
        <v>26.62</v>
      </c>
    </row>
    <row r="135" spans="1:16" x14ac:dyDescent="0.25">
      <c r="A135" t="s">
        <v>15</v>
      </c>
      <c r="B135" t="s">
        <v>16</v>
      </c>
      <c r="C135" t="s">
        <v>187</v>
      </c>
      <c r="D135" t="s">
        <v>240</v>
      </c>
      <c r="E135" t="s">
        <v>19</v>
      </c>
      <c r="F135" t="s">
        <v>202</v>
      </c>
      <c r="G135" s="1">
        <f>45679</f>
        <v>45679</v>
      </c>
      <c r="H135" t="s">
        <v>51</v>
      </c>
      <c r="I135" s="2">
        <v>191.95</v>
      </c>
      <c r="J135" s="2">
        <v>92.8</v>
      </c>
      <c r="K135" s="2">
        <v>99.15</v>
      </c>
      <c r="L135" s="2">
        <v>51.65</v>
      </c>
      <c r="M135" s="2">
        <v>191.95</v>
      </c>
      <c r="N135" s="2">
        <v>92.8</v>
      </c>
      <c r="O135" s="2">
        <v>90.15</v>
      </c>
      <c r="P135" s="2">
        <v>51.65</v>
      </c>
    </row>
    <row r="136" spans="1:16" x14ac:dyDescent="0.25">
      <c r="A136" t="s">
        <v>15</v>
      </c>
      <c r="B136" t="s">
        <v>16</v>
      </c>
      <c r="C136" t="s">
        <v>187</v>
      </c>
      <c r="D136" t="s">
        <v>241</v>
      </c>
      <c r="E136" t="s">
        <v>19</v>
      </c>
      <c r="F136" t="s">
        <v>211</v>
      </c>
      <c r="G136" s="1">
        <f>45684</f>
        <v>45684</v>
      </c>
      <c r="H136" t="s">
        <v>51</v>
      </c>
      <c r="I136" s="2">
        <v>2169.3000000000002</v>
      </c>
      <c r="J136" s="2">
        <v>1293.1099999999999</v>
      </c>
      <c r="K136" s="2">
        <v>876.19</v>
      </c>
      <c r="L136" s="2">
        <v>40.39</v>
      </c>
      <c r="M136" s="2">
        <v>2169.3000000000002</v>
      </c>
      <c r="N136" s="2">
        <v>1293.1099999999999</v>
      </c>
      <c r="O136" s="2">
        <v>858.19</v>
      </c>
      <c r="P136" s="2">
        <v>40.39</v>
      </c>
    </row>
    <row r="137" spans="1:16" x14ac:dyDescent="0.25">
      <c r="A137" t="s">
        <v>15</v>
      </c>
      <c r="B137" t="s">
        <v>16</v>
      </c>
      <c r="C137" t="s">
        <v>187</v>
      </c>
      <c r="D137" t="s">
        <v>242</v>
      </c>
      <c r="E137" t="s">
        <v>19</v>
      </c>
      <c r="F137" t="s">
        <v>213</v>
      </c>
      <c r="G137" s="1">
        <f>45685</f>
        <v>45685</v>
      </c>
      <c r="H137" t="s">
        <v>51</v>
      </c>
      <c r="I137" s="2">
        <v>203.6</v>
      </c>
      <c r="J137" s="2">
        <v>127</v>
      </c>
      <c r="K137" s="2">
        <v>76.599999999999994</v>
      </c>
      <c r="L137" s="2">
        <v>37.619999999999997</v>
      </c>
      <c r="M137" s="2">
        <v>203.6</v>
      </c>
      <c r="N137" s="2">
        <v>127</v>
      </c>
      <c r="O137" s="2">
        <v>51.6</v>
      </c>
      <c r="P137" s="2">
        <v>37.619999999999997</v>
      </c>
    </row>
    <row r="138" spans="1:16" x14ac:dyDescent="0.25">
      <c r="A138" t="s">
        <v>15</v>
      </c>
      <c r="B138" t="s">
        <v>16</v>
      </c>
      <c r="C138" t="s">
        <v>187</v>
      </c>
      <c r="D138" t="s">
        <v>243</v>
      </c>
      <c r="E138" t="s">
        <v>19</v>
      </c>
      <c r="F138" t="s">
        <v>244</v>
      </c>
      <c r="G138" s="1">
        <f>45685</f>
        <v>45685</v>
      </c>
      <c r="H138" t="s">
        <v>51</v>
      </c>
      <c r="I138" s="2">
        <v>277.26</v>
      </c>
      <c r="J138" s="2">
        <v>160.63</v>
      </c>
      <c r="K138" s="2">
        <v>116.63</v>
      </c>
      <c r="L138" s="2">
        <v>42.07</v>
      </c>
      <c r="M138" s="2">
        <v>277.26</v>
      </c>
      <c r="N138" s="2">
        <v>160.63</v>
      </c>
      <c r="O138" s="2">
        <v>61.63</v>
      </c>
      <c r="P138" s="2">
        <v>42.07</v>
      </c>
    </row>
    <row r="139" spans="1:16" x14ac:dyDescent="0.25">
      <c r="A139" t="s">
        <v>15</v>
      </c>
      <c r="B139" t="s">
        <v>16</v>
      </c>
      <c r="C139" t="s">
        <v>187</v>
      </c>
      <c r="D139" t="s">
        <v>245</v>
      </c>
      <c r="E139" t="s">
        <v>19</v>
      </c>
      <c r="F139" t="s">
        <v>206</v>
      </c>
      <c r="G139" s="1">
        <f>45687</f>
        <v>45687</v>
      </c>
      <c r="H139" t="s">
        <v>51</v>
      </c>
      <c r="I139" s="2">
        <v>202.8</v>
      </c>
      <c r="J139" s="2">
        <v>101.34</v>
      </c>
      <c r="K139" s="2">
        <v>101.46</v>
      </c>
      <c r="L139" s="2">
        <v>50.03</v>
      </c>
      <c r="M139" s="2">
        <v>202.8</v>
      </c>
      <c r="N139" s="2">
        <v>102.61</v>
      </c>
      <c r="O139" s="2">
        <v>100.18</v>
      </c>
      <c r="P139" s="2">
        <v>49.4</v>
      </c>
    </row>
    <row r="140" spans="1:16" x14ac:dyDescent="0.25">
      <c r="A140" t="s">
        <v>15</v>
      </c>
      <c r="B140" t="s">
        <v>16</v>
      </c>
      <c r="C140" t="s">
        <v>187</v>
      </c>
      <c r="D140" t="s">
        <v>246</v>
      </c>
      <c r="E140" t="s">
        <v>19</v>
      </c>
      <c r="F140" t="s">
        <v>215</v>
      </c>
      <c r="G140" s="1">
        <f>45687</f>
        <v>45687</v>
      </c>
      <c r="H140" t="s">
        <v>51</v>
      </c>
      <c r="I140" s="2">
        <v>1621</v>
      </c>
      <c r="J140" s="2">
        <v>1124.8</v>
      </c>
      <c r="K140" s="2">
        <v>496.2</v>
      </c>
      <c r="L140" s="2">
        <v>30.61</v>
      </c>
      <c r="M140" s="2">
        <v>1621</v>
      </c>
      <c r="N140" s="2">
        <v>1124.8</v>
      </c>
      <c r="O140" s="2">
        <v>480.2</v>
      </c>
      <c r="P140" s="2">
        <v>30.61</v>
      </c>
    </row>
    <row r="141" spans="1:16" x14ac:dyDescent="0.25">
      <c r="A141" t="s">
        <v>15</v>
      </c>
      <c r="B141" t="s">
        <v>16</v>
      </c>
      <c r="C141" t="s">
        <v>187</v>
      </c>
      <c r="D141" t="s">
        <v>247</v>
      </c>
      <c r="E141" t="s">
        <v>19</v>
      </c>
      <c r="F141" t="s">
        <v>248</v>
      </c>
      <c r="G141" s="1">
        <f>45684</f>
        <v>45684</v>
      </c>
      <c r="H141" t="s">
        <v>51</v>
      </c>
      <c r="I141" s="2">
        <v>1316.27</v>
      </c>
      <c r="J141" s="2">
        <v>895</v>
      </c>
      <c r="K141" s="2">
        <v>421.27</v>
      </c>
      <c r="L141" s="2">
        <v>32</v>
      </c>
      <c r="M141" s="2">
        <v>1316.27</v>
      </c>
      <c r="N141" s="2">
        <v>895</v>
      </c>
      <c r="O141" s="2">
        <v>421.27</v>
      </c>
      <c r="P141" s="2">
        <v>32</v>
      </c>
    </row>
    <row r="142" spans="1:16" x14ac:dyDescent="0.25">
      <c r="A142" t="s">
        <v>15</v>
      </c>
      <c r="B142" t="s">
        <v>16</v>
      </c>
      <c r="C142" t="s">
        <v>187</v>
      </c>
      <c r="D142" t="s">
        <v>249</v>
      </c>
      <c r="E142" t="s">
        <v>19</v>
      </c>
      <c r="F142" t="s">
        <v>191</v>
      </c>
      <c r="G142" s="1">
        <f>45688</f>
        <v>45688</v>
      </c>
      <c r="H142" t="s">
        <v>51</v>
      </c>
      <c r="I142" s="2">
        <v>4358.8</v>
      </c>
      <c r="J142" s="2">
        <v>2855.75</v>
      </c>
      <c r="K142" s="2">
        <v>1503.05</v>
      </c>
      <c r="L142" s="2">
        <v>34.479999999999997</v>
      </c>
      <c r="M142" s="2">
        <v>4358.8</v>
      </c>
      <c r="N142" s="2">
        <v>3023.9</v>
      </c>
      <c r="O142" s="2">
        <v>1274.9000000000001</v>
      </c>
      <c r="P142" s="2">
        <v>30.63</v>
      </c>
    </row>
    <row r="143" spans="1:16" x14ac:dyDescent="0.25">
      <c r="A143" t="s">
        <v>15</v>
      </c>
      <c r="B143" t="s">
        <v>16</v>
      </c>
      <c r="C143" t="s">
        <v>187</v>
      </c>
      <c r="D143" t="s">
        <v>250</v>
      </c>
      <c r="E143" t="s">
        <v>19</v>
      </c>
      <c r="F143" t="s">
        <v>191</v>
      </c>
      <c r="G143" s="1">
        <f>45688</f>
        <v>45688</v>
      </c>
      <c r="H143" t="s">
        <v>51</v>
      </c>
      <c r="I143" s="2">
        <v>515.20000000000005</v>
      </c>
      <c r="J143" s="2">
        <v>304.89999999999998</v>
      </c>
      <c r="K143" s="2">
        <v>210.3</v>
      </c>
      <c r="L143" s="2">
        <v>40.82</v>
      </c>
      <c r="M143" s="2">
        <v>515.20000000000005</v>
      </c>
      <c r="N143" s="2">
        <v>304.89999999999998</v>
      </c>
      <c r="O143" s="2">
        <v>201.3</v>
      </c>
      <c r="P143" s="2">
        <v>40.82</v>
      </c>
    </row>
    <row r="144" spans="1:16" x14ac:dyDescent="0.25">
      <c r="A144" t="s">
        <v>15</v>
      </c>
      <c r="B144" t="s">
        <v>16</v>
      </c>
      <c r="C144" t="s">
        <v>187</v>
      </c>
      <c r="D144" t="s">
        <v>251</v>
      </c>
      <c r="E144" t="s">
        <v>19</v>
      </c>
      <c r="F144" t="s">
        <v>189</v>
      </c>
      <c r="G144" s="1">
        <f>45688</f>
        <v>45688</v>
      </c>
      <c r="H144" t="s">
        <v>51</v>
      </c>
      <c r="I144" s="2">
        <v>12755.2</v>
      </c>
      <c r="J144" s="2">
        <v>8615</v>
      </c>
      <c r="K144" s="2">
        <v>4140.2</v>
      </c>
      <c r="L144" s="2">
        <v>32.46</v>
      </c>
      <c r="M144" s="2">
        <v>12755.2</v>
      </c>
      <c r="N144" s="2">
        <v>8615</v>
      </c>
      <c r="O144" s="2">
        <v>4115.2</v>
      </c>
      <c r="P144" s="2">
        <v>32.46</v>
      </c>
    </row>
    <row r="145" spans="1:16" x14ac:dyDescent="0.25">
      <c r="A145" t="s">
        <v>15</v>
      </c>
      <c r="B145" t="s">
        <v>16</v>
      </c>
      <c r="C145" t="s">
        <v>252</v>
      </c>
      <c r="D145" t="s">
        <v>253</v>
      </c>
      <c r="E145" t="s">
        <v>47</v>
      </c>
      <c r="F145" t="s">
        <v>254</v>
      </c>
      <c r="G145" s="1">
        <f>45663</f>
        <v>45663</v>
      </c>
      <c r="H145" t="s">
        <v>2422</v>
      </c>
      <c r="I145" s="2">
        <v>1252.8</v>
      </c>
      <c r="J145" s="2">
        <v>902</v>
      </c>
      <c r="K145" s="2">
        <v>350.8</v>
      </c>
      <c r="L145" s="2">
        <v>28</v>
      </c>
      <c r="M145" s="2">
        <v>1252.8</v>
      </c>
      <c r="N145" s="2">
        <v>902</v>
      </c>
      <c r="O145" s="2">
        <v>300.8</v>
      </c>
      <c r="P145" s="2">
        <v>28</v>
      </c>
    </row>
    <row r="146" spans="1:16" x14ac:dyDescent="0.25">
      <c r="A146" t="s">
        <v>15</v>
      </c>
      <c r="B146" t="s">
        <v>16</v>
      </c>
      <c r="C146" t="s">
        <v>252</v>
      </c>
      <c r="D146" t="s">
        <v>255</v>
      </c>
      <c r="E146" t="s">
        <v>19</v>
      </c>
      <c r="F146" t="s">
        <v>256</v>
      </c>
      <c r="G146" s="1">
        <f>45663</f>
        <v>45663</v>
      </c>
      <c r="H146" t="s">
        <v>2422</v>
      </c>
      <c r="I146" s="2">
        <v>379.2</v>
      </c>
      <c r="J146" s="2">
        <v>233.08</v>
      </c>
      <c r="K146" s="2">
        <v>146.12</v>
      </c>
      <c r="L146" s="2">
        <v>38.53</v>
      </c>
      <c r="M146" s="2">
        <v>379.2</v>
      </c>
      <c r="N146" s="2">
        <v>233.08</v>
      </c>
      <c r="O146" s="2">
        <v>144.04</v>
      </c>
      <c r="P146" s="2">
        <v>38.53</v>
      </c>
    </row>
    <row r="147" spans="1:16" x14ac:dyDescent="0.25">
      <c r="A147" t="s">
        <v>15</v>
      </c>
      <c r="B147" t="s">
        <v>16</v>
      </c>
      <c r="C147" t="s">
        <v>252</v>
      </c>
      <c r="D147" t="s">
        <v>257</v>
      </c>
      <c r="E147" t="s">
        <v>19</v>
      </c>
      <c r="F147" t="s">
        <v>258</v>
      </c>
      <c r="G147" s="1">
        <f>45664</f>
        <v>45664</v>
      </c>
      <c r="H147" t="s">
        <v>2422</v>
      </c>
      <c r="I147" s="2">
        <v>228</v>
      </c>
      <c r="J147" s="2">
        <v>153</v>
      </c>
      <c r="K147" s="2">
        <v>75</v>
      </c>
      <c r="L147" s="2">
        <v>32.89</v>
      </c>
      <c r="M147" s="2">
        <v>228</v>
      </c>
      <c r="N147" s="2">
        <v>153</v>
      </c>
      <c r="O147" s="2">
        <v>24</v>
      </c>
      <c r="P147" s="2">
        <v>32.89</v>
      </c>
    </row>
    <row r="148" spans="1:16" x14ac:dyDescent="0.25">
      <c r="A148" t="s">
        <v>15</v>
      </c>
      <c r="B148" t="s">
        <v>16</v>
      </c>
      <c r="C148" t="s">
        <v>252</v>
      </c>
      <c r="D148" t="s">
        <v>259</v>
      </c>
      <c r="E148" t="s">
        <v>19</v>
      </c>
      <c r="F148" t="s">
        <v>260</v>
      </c>
      <c r="G148" s="1">
        <f>45664</f>
        <v>45664</v>
      </c>
      <c r="H148" t="s">
        <v>2422</v>
      </c>
      <c r="I148" s="2">
        <v>776.2</v>
      </c>
      <c r="J148" s="2">
        <v>481.52</v>
      </c>
      <c r="K148" s="2">
        <v>294.68</v>
      </c>
      <c r="L148" s="2">
        <v>37.96</v>
      </c>
      <c r="M148" s="2">
        <v>776.2</v>
      </c>
      <c r="N148" s="2">
        <v>481.52</v>
      </c>
      <c r="O148" s="2">
        <v>276.36</v>
      </c>
      <c r="P148" s="2">
        <v>37.96</v>
      </c>
    </row>
    <row r="149" spans="1:16" x14ac:dyDescent="0.25">
      <c r="A149" t="s">
        <v>15</v>
      </c>
      <c r="B149" t="s">
        <v>16</v>
      </c>
      <c r="C149" t="s">
        <v>252</v>
      </c>
      <c r="D149" t="s">
        <v>261</v>
      </c>
      <c r="E149" t="s">
        <v>19</v>
      </c>
      <c r="F149" t="s">
        <v>258</v>
      </c>
      <c r="G149" s="1">
        <f>45664</f>
        <v>45664</v>
      </c>
      <c r="H149" t="s">
        <v>2422</v>
      </c>
      <c r="I149" s="2">
        <v>382.29</v>
      </c>
      <c r="J149" s="2">
        <v>244.17</v>
      </c>
      <c r="K149" s="2">
        <v>138.12</v>
      </c>
      <c r="L149" s="2">
        <v>36.130000000000003</v>
      </c>
      <c r="M149" s="2">
        <v>382.29</v>
      </c>
      <c r="N149" s="2">
        <v>244.17</v>
      </c>
      <c r="O149" s="2">
        <v>77.12</v>
      </c>
      <c r="P149" s="2">
        <v>36.130000000000003</v>
      </c>
    </row>
    <row r="150" spans="1:16" x14ac:dyDescent="0.25">
      <c r="A150" t="s">
        <v>15</v>
      </c>
      <c r="B150" t="s">
        <v>16</v>
      </c>
      <c r="C150" t="s">
        <v>252</v>
      </c>
      <c r="D150" t="s">
        <v>262</v>
      </c>
      <c r="E150" t="s">
        <v>19</v>
      </c>
      <c r="F150" t="s">
        <v>263</v>
      </c>
      <c r="G150" s="1">
        <f>45665</f>
        <v>45665</v>
      </c>
      <c r="H150" t="s">
        <v>2422</v>
      </c>
      <c r="I150" s="2">
        <v>1781.3</v>
      </c>
      <c r="J150" s="2">
        <v>1230</v>
      </c>
      <c r="K150" s="2">
        <v>551.29999999999995</v>
      </c>
      <c r="L150" s="2">
        <v>30.95</v>
      </c>
      <c r="M150" s="2">
        <v>1781.3</v>
      </c>
      <c r="N150" s="2">
        <v>1230</v>
      </c>
      <c r="O150" s="2">
        <v>511.3</v>
      </c>
      <c r="P150" s="2">
        <v>30.95</v>
      </c>
    </row>
    <row r="151" spans="1:16" x14ac:dyDescent="0.25">
      <c r="A151" t="s">
        <v>15</v>
      </c>
      <c r="B151" t="s">
        <v>16</v>
      </c>
      <c r="C151" t="s">
        <v>252</v>
      </c>
      <c r="D151" t="s">
        <v>264</v>
      </c>
      <c r="E151" t="s">
        <v>19</v>
      </c>
      <c r="F151" t="s">
        <v>265</v>
      </c>
      <c r="G151" s="1">
        <f>45665</f>
        <v>45665</v>
      </c>
      <c r="H151" t="s">
        <v>2422</v>
      </c>
      <c r="I151" s="2">
        <v>249</v>
      </c>
      <c r="J151" s="2">
        <v>134.47</v>
      </c>
      <c r="K151" s="2">
        <v>114.53</v>
      </c>
      <c r="L151" s="2">
        <v>46</v>
      </c>
      <c r="M151" s="2">
        <v>249</v>
      </c>
      <c r="N151" s="2">
        <v>134.47</v>
      </c>
      <c r="O151" s="2">
        <v>97.03</v>
      </c>
      <c r="P151" s="2">
        <v>46</v>
      </c>
    </row>
    <row r="152" spans="1:16" x14ac:dyDescent="0.25">
      <c r="A152" t="s">
        <v>15</v>
      </c>
      <c r="B152" t="s">
        <v>16</v>
      </c>
      <c r="C152" t="s">
        <v>252</v>
      </c>
      <c r="D152" t="s">
        <v>266</v>
      </c>
      <c r="E152" t="s">
        <v>19</v>
      </c>
      <c r="F152" t="s">
        <v>267</v>
      </c>
      <c r="G152" s="1">
        <f>45667</f>
        <v>45667</v>
      </c>
      <c r="H152" t="s">
        <v>2422</v>
      </c>
      <c r="I152" s="2">
        <v>224.7</v>
      </c>
      <c r="J152" s="2">
        <v>150.72</v>
      </c>
      <c r="K152" s="2">
        <v>73.98</v>
      </c>
      <c r="L152" s="2">
        <v>32.92</v>
      </c>
      <c r="M152" s="2">
        <v>224.7</v>
      </c>
      <c r="N152" s="2">
        <v>150.69</v>
      </c>
      <c r="O152" s="2">
        <v>63.75</v>
      </c>
      <c r="P152" s="2">
        <v>32.94</v>
      </c>
    </row>
    <row r="153" spans="1:16" x14ac:dyDescent="0.25">
      <c r="A153" t="s">
        <v>15</v>
      </c>
      <c r="B153" t="s">
        <v>16</v>
      </c>
      <c r="C153" t="s">
        <v>252</v>
      </c>
      <c r="D153" t="s">
        <v>268</v>
      </c>
      <c r="E153" t="s">
        <v>47</v>
      </c>
      <c r="F153" t="s">
        <v>269</v>
      </c>
      <c r="G153" s="1">
        <f>45670</f>
        <v>45670</v>
      </c>
      <c r="H153" t="s">
        <v>2422</v>
      </c>
      <c r="I153" s="2">
        <v>285</v>
      </c>
      <c r="J153" s="2">
        <v>185.72</v>
      </c>
      <c r="K153" s="2">
        <v>99.28</v>
      </c>
      <c r="L153" s="2">
        <v>34.840000000000003</v>
      </c>
      <c r="M153" s="2">
        <v>285</v>
      </c>
      <c r="N153" s="2">
        <v>185.72</v>
      </c>
      <c r="O153" s="2">
        <v>60.11</v>
      </c>
      <c r="P153" s="2">
        <v>34.840000000000003</v>
      </c>
    </row>
    <row r="154" spans="1:16" x14ac:dyDescent="0.25">
      <c r="A154" t="s">
        <v>15</v>
      </c>
      <c r="B154" t="s">
        <v>16</v>
      </c>
      <c r="C154" t="s">
        <v>252</v>
      </c>
      <c r="D154" t="s">
        <v>270</v>
      </c>
      <c r="E154" t="s">
        <v>19</v>
      </c>
      <c r="F154" t="s">
        <v>258</v>
      </c>
      <c r="G154" s="1">
        <f>45670</f>
        <v>45670</v>
      </c>
      <c r="H154" t="s">
        <v>2422</v>
      </c>
      <c r="I154" s="2">
        <v>3303</v>
      </c>
      <c r="J154" s="2">
        <v>2348.8000000000002</v>
      </c>
      <c r="K154" s="2">
        <v>954.2</v>
      </c>
      <c r="L154" s="2">
        <v>28.89</v>
      </c>
      <c r="M154" s="2">
        <v>3303</v>
      </c>
      <c r="N154" s="2">
        <v>2348.8000000000002</v>
      </c>
      <c r="O154" s="2">
        <v>944.2</v>
      </c>
      <c r="P154" s="2">
        <v>28.89</v>
      </c>
    </row>
    <row r="155" spans="1:16" x14ac:dyDescent="0.25">
      <c r="A155" t="s">
        <v>15</v>
      </c>
      <c r="B155" t="s">
        <v>16</v>
      </c>
      <c r="C155" t="s">
        <v>252</v>
      </c>
      <c r="D155" t="s">
        <v>271</v>
      </c>
      <c r="E155" t="s">
        <v>19</v>
      </c>
      <c r="F155" t="s">
        <v>272</v>
      </c>
      <c r="G155" s="1">
        <f>45671</f>
        <v>45671</v>
      </c>
      <c r="H155" t="s">
        <v>2422</v>
      </c>
      <c r="I155" s="2">
        <v>181.9</v>
      </c>
      <c r="J155" s="2">
        <v>131.01</v>
      </c>
      <c r="K155" s="2">
        <v>50.89</v>
      </c>
      <c r="L155" s="2">
        <v>27.98</v>
      </c>
      <c r="M155" s="2">
        <v>181.9</v>
      </c>
      <c r="N155" s="2">
        <v>131.01</v>
      </c>
      <c r="O155" s="2">
        <v>50.89</v>
      </c>
      <c r="P155" s="2">
        <v>27.98</v>
      </c>
    </row>
    <row r="156" spans="1:16" x14ac:dyDescent="0.25">
      <c r="A156" t="s">
        <v>15</v>
      </c>
      <c r="B156" t="s">
        <v>16</v>
      </c>
      <c r="C156" t="s">
        <v>252</v>
      </c>
      <c r="D156" t="s">
        <v>273</v>
      </c>
      <c r="E156" t="s">
        <v>19</v>
      </c>
      <c r="F156" t="s">
        <v>272</v>
      </c>
      <c r="G156" s="1">
        <f>45673</f>
        <v>45673</v>
      </c>
      <c r="H156" t="s">
        <v>2422</v>
      </c>
      <c r="I156" s="2">
        <v>1220</v>
      </c>
      <c r="J156" s="2">
        <v>878.39</v>
      </c>
      <c r="K156" s="2">
        <v>341.61</v>
      </c>
      <c r="L156" s="2">
        <v>28</v>
      </c>
      <c r="M156" s="2">
        <v>1220</v>
      </c>
      <c r="N156" s="2">
        <v>878.39</v>
      </c>
      <c r="O156" s="2">
        <v>341.61</v>
      </c>
      <c r="P156" s="2">
        <v>28</v>
      </c>
    </row>
    <row r="157" spans="1:16" x14ac:dyDescent="0.25">
      <c r="A157" t="s">
        <v>15</v>
      </c>
      <c r="B157" t="s">
        <v>16</v>
      </c>
      <c r="C157" t="s">
        <v>252</v>
      </c>
      <c r="D157" t="s">
        <v>274</v>
      </c>
      <c r="E157" t="s">
        <v>19</v>
      </c>
      <c r="F157" t="s">
        <v>269</v>
      </c>
      <c r="G157" s="1">
        <f>45673</f>
        <v>45673</v>
      </c>
      <c r="H157" t="s">
        <v>2422</v>
      </c>
      <c r="I157" s="2">
        <v>613.20000000000005</v>
      </c>
      <c r="J157" s="2">
        <v>416.42</v>
      </c>
      <c r="K157" s="2">
        <v>196.78</v>
      </c>
      <c r="L157" s="2">
        <v>32.090000000000003</v>
      </c>
      <c r="M157" s="2">
        <v>613.20000000000005</v>
      </c>
      <c r="N157" s="2">
        <v>416.42</v>
      </c>
      <c r="O157" s="2">
        <v>168.78</v>
      </c>
      <c r="P157" s="2">
        <v>32.090000000000003</v>
      </c>
    </row>
    <row r="158" spans="1:16" x14ac:dyDescent="0.25">
      <c r="A158" t="s">
        <v>15</v>
      </c>
      <c r="B158" t="s">
        <v>16</v>
      </c>
      <c r="C158" t="s">
        <v>252</v>
      </c>
      <c r="D158" t="s">
        <v>275</v>
      </c>
      <c r="E158" t="s">
        <v>19</v>
      </c>
      <c r="F158" t="s">
        <v>276</v>
      </c>
      <c r="G158" s="1">
        <f>45673</f>
        <v>45673</v>
      </c>
      <c r="H158" t="s">
        <v>2422</v>
      </c>
      <c r="I158" s="2">
        <v>587.5</v>
      </c>
      <c r="J158" s="2">
        <v>291.75</v>
      </c>
      <c r="K158" s="2">
        <v>295.75</v>
      </c>
      <c r="L158" s="2">
        <v>50.34</v>
      </c>
      <c r="M158" s="2">
        <v>587.5</v>
      </c>
      <c r="N158" s="2">
        <v>291.75</v>
      </c>
      <c r="O158" s="2">
        <v>261.75</v>
      </c>
      <c r="P158" s="2">
        <v>50.34</v>
      </c>
    </row>
    <row r="159" spans="1:16" x14ac:dyDescent="0.25">
      <c r="A159" t="s">
        <v>15</v>
      </c>
      <c r="B159" t="s">
        <v>16</v>
      </c>
      <c r="C159" t="s">
        <v>252</v>
      </c>
      <c r="D159" t="s">
        <v>277</v>
      </c>
      <c r="E159" t="s">
        <v>19</v>
      </c>
      <c r="F159" t="s">
        <v>256</v>
      </c>
      <c r="G159" s="1">
        <f>45673</f>
        <v>45673</v>
      </c>
      <c r="H159" t="s">
        <v>2422</v>
      </c>
      <c r="I159" s="2">
        <v>3545.9</v>
      </c>
      <c r="J159" s="2">
        <v>2412</v>
      </c>
      <c r="K159" s="2">
        <v>1133.9000000000001</v>
      </c>
      <c r="L159" s="2">
        <v>31.98</v>
      </c>
      <c r="M159" s="2">
        <v>3545.9</v>
      </c>
      <c r="N159" s="2">
        <v>2412</v>
      </c>
      <c r="O159" s="2">
        <v>1071.9000000000001</v>
      </c>
      <c r="P159" s="2">
        <v>31.98</v>
      </c>
    </row>
    <row r="160" spans="1:16" x14ac:dyDescent="0.25">
      <c r="A160" t="s">
        <v>15</v>
      </c>
      <c r="B160" t="s">
        <v>16</v>
      </c>
      <c r="C160" t="s">
        <v>252</v>
      </c>
      <c r="D160" t="s">
        <v>278</v>
      </c>
      <c r="E160" t="s">
        <v>19</v>
      </c>
      <c r="F160" t="s">
        <v>279</v>
      </c>
      <c r="G160" s="1">
        <f>45673</f>
        <v>45673</v>
      </c>
      <c r="H160" t="s">
        <v>2422</v>
      </c>
      <c r="I160" s="2">
        <v>1244.8</v>
      </c>
      <c r="J160" s="2">
        <v>777.84</v>
      </c>
      <c r="K160" s="2">
        <v>466.96</v>
      </c>
      <c r="L160" s="2">
        <v>37.51</v>
      </c>
      <c r="M160" s="2">
        <v>1244.8</v>
      </c>
      <c r="N160" s="2">
        <v>777.84</v>
      </c>
      <c r="O160" s="2">
        <v>438.96</v>
      </c>
      <c r="P160" s="2">
        <v>37.51</v>
      </c>
    </row>
    <row r="161" spans="1:16" x14ac:dyDescent="0.25">
      <c r="A161" t="s">
        <v>15</v>
      </c>
      <c r="B161" t="s">
        <v>16</v>
      </c>
      <c r="C161" t="s">
        <v>252</v>
      </c>
      <c r="D161" t="s">
        <v>280</v>
      </c>
      <c r="E161" t="s">
        <v>19</v>
      </c>
      <c r="F161" t="s">
        <v>281</v>
      </c>
      <c r="G161" s="1">
        <f>45677</f>
        <v>45677</v>
      </c>
      <c r="H161" t="s">
        <v>2422</v>
      </c>
      <c r="I161" s="2">
        <v>1568.2</v>
      </c>
      <c r="J161" s="2">
        <v>1066.4000000000001</v>
      </c>
      <c r="K161" s="2">
        <v>501.8</v>
      </c>
      <c r="L161" s="2">
        <v>32</v>
      </c>
      <c r="M161" s="2">
        <v>1568.2</v>
      </c>
      <c r="N161" s="2">
        <v>1066.4000000000001</v>
      </c>
      <c r="O161" s="2">
        <v>461.8</v>
      </c>
      <c r="P161" s="2">
        <v>32</v>
      </c>
    </row>
    <row r="162" spans="1:16" x14ac:dyDescent="0.25">
      <c r="A162" t="s">
        <v>15</v>
      </c>
      <c r="B162" t="s">
        <v>16</v>
      </c>
      <c r="C162" t="s">
        <v>252</v>
      </c>
      <c r="D162" t="s">
        <v>282</v>
      </c>
      <c r="E162" t="s">
        <v>19</v>
      </c>
      <c r="F162" t="s">
        <v>267</v>
      </c>
      <c r="G162" s="1">
        <f>45677</f>
        <v>45677</v>
      </c>
      <c r="H162" t="s">
        <v>2422</v>
      </c>
      <c r="I162" s="2">
        <v>427.6</v>
      </c>
      <c r="J162" s="2">
        <v>284.64999999999998</v>
      </c>
      <c r="K162" s="2">
        <v>142.94999999999999</v>
      </c>
      <c r="L162" s="2">
        <v>33.43</v>
      </c>
      <c r="M162" s="2">
        <v>427.6</v>
      </c>
      <c r="N162" s="2">
        <v>284.66000000000003</v>
      </c>
      <c r="O162" s="2">
        <v>128.54</v>
      </c>
      <c r="P162" s="2">
        <v>33.43</v>
      </c>
    </row>
    <row r="163" spans="1:16" x14ac:dyDescent="0.25">
      <c r="A163" t="s">
        <v>15</v>
      </c>
      <c r="B163" t="s">
        <v>16</v>
      </c>
      <c r="C163" t="s">
        <v>252</v>
      </c>
      <c r="D163" t="s">
        <v>283</v>
      </c>
      <c r="E163" t="s">
        <v>19</v>
      </c>
      <c r="F163" t="s">
        <v>284</v>
      </c>
      <c r="G163" s="1">
        <f>45677</f>
        <v>45677</v>
      </c>
      <c r="H163" t="s">
        <v>2422</v>
      </c>
      <c r="I163" s="2">
        <v>1494.6</v>
      </c>
      <c r="J163" s="2">
        <v>1007.6</v>
      </c>
      <c r="K163" s="2">
        <v>487</v>
      </c>
      <c r="L163" s="2">
        <v>32.58</v>
      </c>
      <c r="M163" s="2">
        <v>1494.6</v>
      </c>
      <c r="N163" s="2">
        <v>1007.6</v>
      </c>
      <c r="O163" s="2">
        <v>457</v>
      </c>
      <c r="P163" s="2">
        <v>32.58</v>
      </c>
    </row>
    <row r="164" spans="1:16" x14ac:dyDescent="0.25">
      <c r="A164" t="s">
        <v>15</v>
      </c>
      <c r="B164" t="s">
        <v>16</v>
      </c>
      <c r="C164" t="s">
        <v>252</v>
      </c>
      <c r="D164" t="s">
        <v>285</v>
      </c>
      <c r="E164" t="s">
        <v>19</v>
      </c>
      <c r="F164" t="s">
        <v>286</v>
      </c>
      <c r="G164" s="1">
        <f>45680</f>
        <v>45680</v>
      </c>
      <c r="H164" t="s">
        <v>2422</v>
      </c>
      <c r="I164" s="2">
        <v>579.4</v>
      </c>
      <c r="J164" s="2">
        <v>329.9</v>
      </c>
      <c r="K164" s="2">
        <v>249.5</v>
      </c>
      <c r="L164" s="2">
        <v>43.06</v>
      </c>
      <c r="M164" s="2">
        <v>579.4</v>
      </c>
      <c r="N164" s="2">
        <v>329.91</v>
      </c>
      <c r="O164" s="2">
        <v>239.49</v>
      </c>
      <c r="P164" s="2">
        <v>43.06</v>
      </c>
    </row>
    <row r="165" spans="1:16" x14ac:dyDescent="0.25">
      <c r="A165" t="s">
        <v>15</v>
      </c>
      <c r="B165" t="s">
        <v>16</v>
      </c>
      <c r="C165" t="s">
        <v>252</v>
      </c>
      <c r="D165" t="s">
        <v>287</v>
      </c>
      <c r="E165" t="s">
        <v>19</v>
      </c>
      <c r="F165" t="s">
        <v>288</v>
      </c>
      <c r="G165" s="1">
        <f>45680</f>
        <v>45680</v>
      </c>
      <c r="H165" t="s">
        <v>2422</v>
      </c>
      <c r="I165" s="2">
        <v>195.74</v>
      </c>
      <c r="J165" s="2">
        <v>93.14</v>
      </c>
      <c r="K165" s="2">
        <v>102.6</v>
      </c>
      <c r="L165" s="2">
        <v>52.42</v>
      </c>
      <c r="M165" s="2">
        <v>195.74</v>
      </c>
      <c r="N165" s="2">
        <v>93.14</v>
      </c>
      <c r="O165" s="2">
        <v>102.6</v>
      </c>
      <c r="P165" s="2">
        <v>52.42</v>
      </c>
    </row>
    <row r="166" spans="1:16" x14ac:dyDescent="0.25">
      <c r="A166" t="s">
        <v>15</v>
      </c>
      <c r="B166" t="s">
        <v>16</v>
      </c>
      <c r="C166" t="s">
        <v>252</v>
      </c>
      <c r="D166" t="s">
        <v>289</v>
      </c>
      <c r="E166" t="s">
        <v>19</v>
      </c>
      <c r="F166" t="s">
        <v>290</v>
      </c>
      <c r="G166" s="1">
        <f>45681</f>
        <v>45681</v>
      </c>
      <c r="H166" t="s">
        <v>2422</v>
      </c>
      <c r="I166" s="2">
        <v>191.4</v>
      </c>
      <c r="J166" s="2">
        <v>124.2</v>
      </c>
      <c r="K166" s="2">
        <v>67.2</v>
      </c>
      <c r="L166" s="2">
        <v>35.11</v>
      </c>
      <c r="M166" s="2">
        <v>191.4</v>
      </c>
      <c r="N166" s="2">
        <v>124.2</v>
      </c>
      <c r="O166" s="2">
        <v>58.2</v>
      </c>
      <c r="P166" s="2">
        <v>35.11</v>
      </c>
    </row>
    <row r="167" spans="1:16" x14ac:dyDescent="0.25">
      <c r="A167" t="s">
        <v>15</v>
      </c>
      <c r="B167" t="s">
        <v>16</v>
      </c>
      <c r="C167" t="s">
        <v>252</v>
      </c>
      <c r="D167" t="s">
        <v>291</v>
      </c>
      <c r="E167" t="s">
        <v>47</v>
      </c>
      <c r="F167" t="s">
        <v>292</v>
      </c>
      <c r="G167" s="1">
        <f>45684</f>
        <v>45684</v>
      </c>
      <c r="H167" t="s">
        <v>2422</v>
      </c>
      <c r="I167" s="2">
        <v>1096.2</v>
      </c>
      <c r="J167" s="2">
        <v>808.4</v>
      </c>
      <c r="K167" s="2">
        <v>287.8</v>
      </c>
      <c r="L167" s="2">
        <v>26.25</v>
      </c>
      <c r="M167" s="2">
        <v>1096.2</v>
      </c>
      <c r="N167" s="2">
        <v>808.4</v>
      </c>
      <c r="O167" s="2">
        <v>257.8</v>
      </c>
      <c r="P167" s="2">
        <v>26.25</v>
      </c>
    </row>
    <row r="168" spans="1:16" x14ac:dyDescent="0.25">
      <c r="A168" t="s">
        <v>15</v>
      </c>
      <c r="B168" t="s">
        <v>16</v>
      </c>
      <c r="C168" t="s">
        <v>252</v>
      </c>
      <c r="D168" t="s">
        <v>293</v>
      </c>
      <c r="E168" t="s">
        <v>19</v>
      </c>
      <c r="F168" t="s">
        <v>288</v>
      </c>
      <c r="G168" s="1">
        <f>45684</f>
        <v>45684</v>
      </c>
      <c r="H168" t="s">
        <v>2422</v>
      </c>
      <c r="I168" s="2">
        <v>354.8</v>
      </c>
      <c r="J168" s="2">
        <v>209.33</v>
      </c>
      <c r="K168" s="2">
        <v>145.47</v>
      </c>
      <c r="L168" s="2">
        <v>41</v>
      </c>
      <c r="M168" s="2">
        <v>354.8</v>
      </c>
      <c r="N168" s="2">
        <v>209.32</v>
      </c>
      <c r="O168" s="2">
        <v>108.48</v>
      </c>
      <c r="P168" s="2">
        <v>41</v>
      </c>
    </row>
    <row r="169" spans="1:16" x14ac:dyDescent="0.25">
      <c r="A169" t="s">
        <v>15</v>
      </c>
      <c r="B169" t="s">
        <v>16</v>
      </c>
      <c r="C169" t="s">
        <v>252</v>
      </c>
      <c r="D169" t="s">
        <v>294</v>
      </c>
      <c r="E169" t="s">
        <v>47</v>
      </c>
      <c r="F169" t="s">
        <v>295</v>
      </c>
      <c r="G169" s="1">
        <f>45685</f>
        <v>45685</v>
      </c>
      <c r="H169" t="s">
        <v>2422</v>
      </c>
      <c r="I169" s="2">
        <v>2260.6999999999998</v>
      </c>
      <c r="J169" s="2">
        <v>900.48</v>
      </c>
      <c r="K169" s="2">
        <v>1360.22</v>
      </c>
      <c r="L169" s="2">
        <v>60.17</v>
      </c>
      <c r="M169" s="2">
        <v>2260.6999999999998</v>
      </c>
      <c r="N169" s="2">
        <v>900.48</v>
      </c>
      <c r="O169" s="2">
        <v>1301.22</v>
      </c>
      <c r="P169" s="2">
        <v>60.17</v>
      </c>
    </row>
    <row r="170" spans="1:16" x14ac:dyDescent="0.25">
      <c r="A170" t="s">
        <v>15</v>
      </c>
      <c r="B170" t="s">
        <v>16</v>
      </c>
      <c r="C170" t="s">
        <v>252</v>
      </c>
      <c r="D170" t="s">
        <v>296</v>
      </c>
      <c r="E170" t="s">
        <v>19</v>
      </c>
      <c r="F170" t="s">
        <v>281</v>
      </c>
      <c r="G170" s="1">
        <f>45685</f>
        <v>45685</v>
      </c>
      <c r="H170" t="s">
        <v>2422</v>
      </c>
      <c r="I170" s="2">
        <v>4710</v>
      </c>
      <c r="J170" s="2">
        <v>3475.57</v>
      </c>
      <c r="K170" s="2">
        <v>1234.43</v>
      </c>
      <c r="L170" s="2">
        <v>26.21</v>
      </c>
      <c r="M170" s="2">
        <v>4710</v>
      </c>
      <c r="N170" s="2">
        <v>3475.57</v>
      </c>
      <c r="O170" s="2">
        <v>1149.6600000000001</v>
      </c>
      <c r="P170" s="2">
        <v>26.21</v>
      </c>
    </row>
    <row r="171" spans="1:16" x14ac:dyDescent="0.25">
      <c r="A171" t="s">
        <v>15</v>
      </c>
      <c r="B171" t="s">
        <v>16</v>
      </c>
      <c r="C171" t="s">
        <v>252</v>
      </c>
      <c r="D171" t="s">
        <v>297</v>
      </c>
      <c r="E171" t="s">
        <v>47</v>
      </c>
      <c r="F171" t="s">
        <v>254</v>
      </c>
      <c r="G171" s="1">
        <f>45685</f>
        <v>45685</v>
      </c>
      <c r="H171" t="s">
        <v>2422</v>
      </c>
      <c r="I171" s="2">
        <v>707.2</v>
      </c>
      <c r="J171" s="2">
        <v>495.36</v>
      </c>
      <c r="K171" s="2">
        <v>211.84</v>
      </c>
      <c r="L171" s="2">
        <v>29.95</v>
      </c>
      <c r="M171" s="2">
        <v>707.2</v>
      </c>
      <c r="N171" s="2">
        <v>495.36</v>
      </c>
      <c r="O171" s="2">
        <v>176.84</v>
      </c>
      <c r="P171" s="2">
        <v>29.95</v>
      </c>
    </row>
    <row r="172" spans="1:16" x14ac:dyDescent="0.25">
      <c r="A172" t="s">
        <v>15</v>
      </c>
      <c r="B172" t="s">
        <v>16</v>
      </c>
      <c r="C172" t="s">
        <v>252</v>
      </c>
      <c r="D172" t="s">
        <v>298</v>
      </c>
      <c r="E172" t="s">
        <v>19</v>
      </c>
      <c r="F172" t="s">
        <v>299</v>
      </c>
      <c r="G172" s="1">
        <f>45686</f>
        <v>45686</v>
      </c>
      <c r="H172" t="s">
        <v>2422</v>
      </c>
      <c r="I172" s="2">
        <v>2504</v>
      </c>
      <c r="J172" s="2">
        <v>1690.4</v>
      </c>
      <c r="K172" s="2">
        <v>813.6</v>
      </c>
      <c r="L172" s="2">
        <v>32.49</v>
      </c>
      <c r="M172" s="2">
        <v>2504</v>
      </c>
      <c r="N172" s="2">
        <v>1690.4</v>
      </c>
      <c r="O172" s="2">
        <v>765.6</v>
      </c>
      <c r="P172" s="2">
        <v>32.49</v>
      </c>
    </row>
    <row r="173" spans="1:16" x14ac:dyDescent="0.25">
      <c r="A173" t="s">
        <v>15</v>
      </c>
      <c r="B173" t="s">
        <v>16</v>
      </c>
      <c r="C173" t="s">
        <v>252</v>
      </c>
      <c r="D173" t="s">
        <v>300</v>
      </c>
      <c r="E173" t="s">
        <v>47</v>
      </c>
      <c r="F173" t="s">
        <v>301</v>
      </c>
      <c r="G173" s="1">
        <f>45688</f>
        <v>45688</v>
      </c>
      <c r="H173" t="s">
        <v>2422</v>
      </c>
      <c r="I173" s="2">
        <v>2749</v>
      </c>
      <c r="J173" s="2">
        <v>1859</v>
      </c>
      <c r="K173" s="2">
        <v>890</v>
      </c>
      <c r="L173" s="2">
        <v>32.380000000000003</v>
      </c>
      <c r="M173" s="2">
        <v>2749</v>
      </c>
      <c r="N173" s="2">
        <v>1859</v>
      </c>
      <c r="O173" s="2">
        <v>765</v>
      </c>
      <c r="P173" s="2">
        <v>32.380000000000003</v>
      </c>
    </row>
    <row r="174" spans="1:16" x14ac:dyDescent="0.25">
      <c r="A174" t="s">
        <v>15</v>
      </c>
      <c r="B174" t="s">
        <v>16</v>
      </c>
      <c r="C174" t="s">
        <v>252</v>
      </c>
      <c r="D174" t="s">
        <v>302</v>
      </c>
      <c r="E174" t="s">
        <v>47</v>
      </c>
      <c r="F174" t="s">
        <v>303</v>
      </c>
      <c r="G174" s="1">
        <f>45688</f>
        <v>45688</v>
      </c>
      <c r="H174" t="s">
        <v>2422</v>
      </c>
      <c r="I174" s="2">
        <v>489.24</v>
      </c>
      <c r="J174" s="2">
        <v>288.16000000000003</v>
      </c>
      <c r="K174" s="2">
        <v>201.08</v>
      </c>
      <c r="L174" s="2">
        <v>41.1</v>
      </c>
      <c r="M174" s="2">
        <v>489.24</v>
      </c>
      <c r="N174" s="2">
        <v>288.16000000000003</v>
      </c>
      <c r="O174" s="2">
        <v>165.08</v>
      </c>
      <c r="P174" s="2">
        <v>41.1</v>
      </c>
    </row>
    <row r="175" spans="1:16" x14ac:dyDescent="0.25">
      <c r="A175" t="s">
        <v>15</v>
      </c>
      <c r="B175" t="s">
        <v>16</v>
      </c>
      <c r="C175" t="s">
        <v>252</v>
      </c>
      <c r="D175" t="s">
        <v>304</v>
      </c>
      <c r="E175" t="s">
        <v>47</v>
      </c>
      <c r="F175" t="s">
        <v>305</v>
      </c>
      <c r="G175" s="1">
        <f>45666</f>
        <v>45666</v>
      </c>
      <c r="H175" t="s">
        <v>2422</v>
      </c>
      <c r="I175" s="2">
        <v>210</v>
      </c>
      <c r="J175" s="2">
        <v>130</v>
      </c>
      <c r="K175" s="2">
        <v>80</v>
      </c>
      <c r="L175" s="2">
        <v>38.1</v>
      </c>
      <c r="M175" s="2">
        <v>210</v>
      </c>
      <c r="N175" s="2">
        <v>130</v>
      </c>
      <c r="O175" s="2">
        <v>80</v>
      </c>
      <c r="P175" s="2">
        <v>38.1</v>
      </c>
    </row>
    <row r="176" spans="1:16" x14ac:dyDescent="0.25">
      <c r="A176" t="s">
        <v>15</v>
      </c>
      <c r="B176" t="s">
        <v>16</v>
      </c>
      <c r="C176" t="s">
        <v>187</v>
      </c>
      <c r="D176" t="s">
        <v>306</v>
      </c>
      <c r="E176" t="s">
        <v>19</v>
      </c>
      <c r="F176" t="s">
        <v>307</v>
      </c>
      <c r="G176" s="1">
        <f>45677</f>
        <v>45677</v>
      </c>
      <c r="H176" t="s">
        <v>51</v>
      </c>
      <c r="I176" s="2">
        <v>9685</v>
      </c>
      <c r="J176" s="2">
        <v>7112.22</v>
      </c>
      <c r="K176" s="2">
        <v>2572.7800000000002</v>
      </c>
      <c r="L176" s="2">
        <v>26.56</v>
      </c>
      <c r="M176" s="2">
        <v>9685</v>
      </c>
      <c r="N176" s="2">
        <v>7633.05</v>
      </c>
      <c r="O176" s="2">
        <v>1800.8</v>
      </c>
      <c r="P176" s="2">
        <v>21.19</v>
      </c>
    </row>
    <row r="177" spans="1:16" x14ac:dyDescent="0.25">
      <c r="A177" t="s">
        <v>15</v>
      </c>
      <c r="B177" t="s">
        <v>16</v>
      </c>
      <c r="C177" t="s">
        <v>17</v>
      </c>
      <c r="D177" t="s">
        <v>308</v>
      </c>
      <c r="E177" t="s">
        <v>19</v>
      </c>
      <c r="F177" t="s">
        <v>309</v>
      </c>
      <c r="G177" s="1">
        <f>45674</f>
        <v>45674</v>
      </c>
      <c r="H177" t="s">
        <v>2422</v>
      </c>
      <c r="I177" s="2">
        <v>201</v>
      </c>
      <c r="J177" s="2">
        <v>101.95</v>
      </c>
      <c r="K177" s="2">
        <v>99.05</v>
      </c>
      <c r="L177" s="2">
        <v>49.28</v>
      </c>
      <c r="M177" s="2">
        <v>201</v>
      </c>
      <c r="N177" s="2">
        <v>109.15</v>
      </c>
      <c r="O177" s="2">
        <v>82.85</v>
      </c>
      <c r="P177" s="2">
        <v>45.7</v>
      </c>
    </row>
    <row r="178" spans="1:16" x14ac:dyDescent="0.25">
      <c r="A178" t="s">
        <v>15</v>
      </c>
      <c r="B178" t="s">
        <v>16</v>
      </c>
      <c r="C178" t="s">
        <v>17</v>
      </c>
      <c r="D178" t="s">
        <v>310</v>
      </c>
      <c r="E178" t="s">
        <v>47</v>
      </c>
      <c r="F178" t="s">
        <v>311</v>
      </c>
      <c r="G178" s="1">
        <f>45659</f>
        <v>45659</v>
      </c>
      <c r="H178" t="s">
        <v>2422</v>
      </c>
      <c r="I178" s="2">
        <v>1400.54</v>
      </c>
      <c r="J178" s="2">
        <v>932.51</v>
      </c>
      <c r="K178" s="2">
        <v>468.03</v>
      </c>
      <c r="L178" s="2">
        <v>33.42</v>
      </c>
      <c r="M178" s="2">
        <v>1400.54</v>
      </c>
      <c r="N178" s="2">
        <v>932.51</v>
      </c>
      <c r="O178" s="2">
        <v>311.52</v>
      </c>
      <c r="P178" s="2">
        <v>33.42</v>
      </c>
    </row>
    <row r="179" spans="1:16" x14ac:dyDescent="0.25">
      <c r="A179" t="s">
        <v>15</v>
      </c>
      <c r="B179" t="s">
        <v>16</v>
      </c>
      <c r="C179" t="s">
        <v>17</v>
      </c>
      <c r="D179" t="s">
        <v>312</v>
      </c>
      <c r="E179" t="s">
        <v>19</v>
      </c>
      <c r="F179" t="s">
        <v>313</v>
      </c>
      <c r="G179" s="1">
        <f>45659</f>
        <v>45659</v>
      </c>
      <c r="H179" t="s">
        <v>56</v>
      </c>
      <c r="I179" s="2">
        <v>604.03</v>
      </c>
      <c r="J179" s="2">
        <v>395.78</v>
      </c>
      <c r="K179" s="2">
        <v>208.25</v>
      </c>
      <c r="L179" s="2">
        <v>34.479999999999997</v>
      </c>
      <c r="M179" s="2">
        <v>604.03</v>
      </c>
      <c r="N179" s="2">
        <v>395.78</v>
      </c>
      <c r="O179" s="2">
        <v>208.25</v>
      </c>
      <c r="P179" s="2">
        <v>34.479999999999997</v>
      </c>
    </row>
    <row r="180" spans="1:16" x14ac:dyDescent="0.25">
      <c r="A180" t="s">
        <v>15</v>
      </c>
      <c r="B180" t="s">
        <v>16</v>
      </c>
      <c r="C180" t="s">
        <v>17</v>
      </c>
      <c r="D180" t="s">
        <v>314</v>
      </c>
      <c r="E180" t="s">
        <v>19</v>
      </c>
      <c r="F180" t="s">
        <v>313</v>
      </c>
      <c r="G180" s="1">
        <f>45663</f>
        <v>45663</v>
      </c>
      <c r="H180" t="s">
        <v>2422</v>
      </c>
      <c r="I180" s="2">
        <v>264.77</v>
      </c>
      <c r="J180" s="2">
        <v>166.8</v>
      </c>
      <c r="K180" s="2">
        <v>97.97</v>
      </c>
      <c r="L180" s="2">
        <v>37</v>
      </c>
      <c r="M180" s="2">
        <v>264.77</v>
      </c>
      <c r="N180" s="2">
        <v>166.8</v>
      </c>
      <c r="O180" s="2">
        <v>68.97</v>
      </c>
      <c r="P180" s="2">
        <v>37</v>
      </c>
    </row>
    <row r="181" spans="1:16" x14ac:dyDescent="0.25">
      <c r="A181" t="s">
        <v>15</v>
      </c>
      <c r="B181" t="s">
        <v>16</v>
      </c>
      <c r="C181" t="s">
        <v>17</v>
      </c>
      <c r="D181" t="s">
        <v>315</v>
      </c>
      <c r="E181" t="s">
        <v>19</v>
      </c>
      <c r="F181" t="s">
        <v>316</v>
      </c>
      <c r="G181" s="1">
        <f>45664</f>
        <v>45664</v>
      </c>
      <c r="H181" t="s">
        <v>2422</v>
      </c>
      <c r="I181" s="2">
        <v>208.1</v>
      </c>
      <c r="J181" s="2">
        <v>127.02</v>
      </c>
      <c r="K181" s="2">
        <v>81.08</v>
      </c>
      <c r="L181" s="2">
        <v>38.96</v>
      </c>
      <c r="M181" s="2">
        <v>208.1</v>
      </c>
      <c r="N181" s="2">
        <v>127.02</v>
      </c>
      <c r="O181" s="2">
        <v>17.079999999999998</v>
      </c>
      <c r="P181" s="2">
        <v>38.96</v>
      </c>
    </row>
    <row r="182" spans="1:16" x14ac:dyDescent="0.25">
      <c r="A182" t="s">
        <v>15</v>
      </c>
      <c r="B182" t="s">
        <v>16</v>
      </c>
      <c r="C182" t="s">
        <v>17</v>
      </c>
      <c r="D182" t="s">
        <v>317</v>
      </c>
      <c r="E182" t="s">
        <v>19</v>
      </c>
      <c r="F182" t="s">
        <v>318</v>
      </c>
      <c r="G182" s="1">
        <f>45664</f>
        <v>45664</v>
      </c>
      <c r="H182" t="s">
        <v>2422</v>
      </c>
      <c r="I182" s="2">
        <v>179.62</v>
      </c>
      <c r="J182" s="2">
        <v>99.67</v>
      </c>
      <c r="K182" s="2">
        <v>79.94</v>
      </c>
      <c r="L182" s="2">
        <v>44.51</v>
      </c>
      <c r="M182" s="2">
        <v>179.62</v>
      </c>
      <c r="N182" s="2">
        <v>98.67</v>
      </c>
      <c r="O182" s="2">
        <v>54.95</v>
      </c>
      <c r="P182" s="2">
        <v>45.07</v>
      </c>
    </row>
    <row r="183" spans="1:16" x14ac:dyDescent="0.25">
      <c r="A183" t="s">
        <v>15</v>
      </c>
      <c r="B183" t="s">
        <v>16</v>
      </c>
      <c r="C183" t="s">
        <v>17</v>
      </c>
      <c r="D183" t="s">
        <v>319</v>
      </c>
      <c r="E183" t="s">
        <v>19</v>
      </c>
      <c r="F183" t="s">
        <v>320</v>
      </c>
      <c r="G183" s="1">
        <f>45665</f>
        <v>45665</v>
      </c>
      <c r="H183" t="s">
        <v>2422</v>
      </c>
      <c r="I183" s="2">
        <v>2330.4</v>
      </c>
      <c r="J183" s="2">
        <v>1578.72</v>
      </c>
      <c r="K183" s="2">
        <v>751.68</v>
      </c>
      <c r="L183" s="2">
        <v>32.26</v>
      </c>
      <c r="M183" s="2">
        <v>2330.4</v>
      </c>
      <c r="N183" s="2">
        <v>1578.72</v>
      </c>
      <c r="O183" s="2">
        <v>742.68</v>
      </c>
      <c r="P183" s="2">
        <v>32.26</v>
      </c>
    </row>
    <row r="184" spans="1:16" x14ac:dyDescent="0.25">
      <c r="A184" t="s">
        <v>15</v>
      </c>
      <c r="B184" t="s">
        <v>16</v>
      </c>
      <c r="C184" t="s">
        <v>17</v>
      </c>
      <c r="D184" t="s">
        <v>321</v>
      </c>
      <c r="E184" t="s">
        <v>19</v>
      </c>
      <c r="F184" t="s">
        <v>322</v>
      </c>
      <c r="G184" s="1">
        <f>45667</f>
        <v>45667</v>
      </c>
      <c r="H184" t="s">
        <v>2422</v>
      </c>
      <c r="I184" s="2">
        <v>733.84</v>
      </c>
      <c r="J184" s="2">
        <v>480.88</v>
      </c>
      <c r="K184" s="2">
        <v>252.96</v>
      </c>
      <c r="L184" s="2">
        <v>34.47</v>
      </c>
      <c r="M184" s="2">
        <v>733.84</v>
      </c>
      <c r="N184" s="2">
        <v>480.88</v>
      </c>
      <c r="O184" s="2">
        <v>242.96</v>
      </c>
      <c r="P184" s="2">
        <v>34.47</v>
      </c>
    </row>
    <row r="185" spans="1:16" x14ac:dyDescent="0.25">
      <c r="A185" t="s">
        <v>15</v>
      </c>
      <c r="B185" t="s">
        <v>16</v>
      </c>
      <c r="C185" t="s">
        <v>17</v>
      </c>
      <c r="D185" t="s">
        <v>323</v>
      </c>
      <c r="E185" t="s">
        <v>19</v>
      </c>
      <c r="F185" t="s">
        <v>324</v>
      </c>
      <c r="G185" s="1">
        <f>45667</f>
        <v>45667</v>
      </c>
      <c r="H185" t="s">
        <v>2422</v>
      </c>
      <c r="I185" s="2">
        <v>1841.08</v>
      </c>
      <c r="J185" s="2">
        <v>845.65</v>
      </c>
      <c r="K185" s="2">
        <v>995.43</v>
      </c>
      <c r="L185" s="2">
        <v>54.07</v>
      </c>
      <c r="M185" s="2">
        <v>1538.38</v>
      </c>
      <c r="N185" s="2">
        <v>678.85</v>
      </c>
      <c r="O185" s="2">
        <v>819.53</v>
      </c>
      <c r="P185" s="2">
        <v>55.87</v>
      </c>
    </row>
    <row r="186" spans="1:16" x14ac:dyDescent="0.25">
      <c r="A186" t="s">
        <v>15</v>
      </c>
      <c r="B186" t="s">
        <v>16</v>
      </c>
      <c r="C186" t="s">
        <v>17</v>
      </c>
      <c r="D186" t="s">
        <v>325</v>
      </c>
      <c r="E186" t="s">
        <v>19</v>
      </c>
      <c r="F186" t="s">
        <v>326</v>
      </c>
      <c r="G186" s="1">
        <f>45670</f>
        <v>45670</v>
      </c>
      <c r="H186" t="s">
        <v>2422</v>
      </c>
      <c r="I186" s="2">
        <v>352</v>
      </c>
      <c r="J186" s="2">
        <v>233.2</v>
      </c>
      <c r="K186" s="2">
        <v>118.8</v>
      </c>
      <c r="L186" s="2">
        <v>33.75</v>
      </c>
      <c r="M186" s="2">
        <v>352</v>
      </c>
      <c r="N186" s="2">
        <v>233.2</v>
      </c>
      <c r="O186" s="2">
        <v>109.8</v>
      </c>
      <c r="P186" s="2">
        <v>33.75</v>
      </c>
    </row>
    <row r="187" spans="1:16" x14ac:dyDescent="0.25">
      <c r="A187" t="s">
        <v>15</v>
      </c>
      <c r="B187" t="s">
        <v>16</v>
      </c>
      <c r="C187" t="s">
        <v>17</v>
      </c>
      <c r="D187" t="s">
        <v>327</v>
      </c>
      <c r="E187" t="s">
        <v>19</v>
      </c>
      <c r="F187" t="s">
        <v>328</v>
      </c>
      <c r="G187" s="1">
        <f>45670</f>
        <v>45670</v>
      </c>
      <c r="H187" t="s">
        <v>2422</v>
      </c>
      <c r="I187" s="2">
        <v>366.12</v>
      </c>
      <c r="J187" s="2">
        <v>243</v>
      </c>
      <c r="K187" s="2">
        <v>123.12</v>
      </c>
      <c r="L187" s="2">
        <v>33.630000000000003</v>
      </c>
      <c r="M187" s="2">
        <v>366.12</v>
      </c>
      <c r="N187" s="2">
        <v>243</v>
      </c>
      <c r="O187" s="2">
        <v>114.12</v>
      </c>
      <c r="P187" s="2">
        <v>33.630000000000003</v>
      </c>
    </row>
    <row r="188" spans="1:16" x14ac:dyDescent="0.25">
      <c r="A188" t="s">
        <v>15</v>
      </c>
      <c r="B188" t="s">
        <v>16</v>
      </c>
      <c r="C188" t="s">
        <v>17</v>
      </c>
      <c r="D188" t="s">
        <v>329</v>
      </c>
      <c r="E188" t="s">
        <v>19</v>
      </c>
      <c r="F188" t="s">
        <v>316</v>
      </c>
      <c r="G188" s="1">
        <f>45670</f>
        <v>45670</v>
      </c>
      <c r="H188" t="s">
        <v>2422</v>
      </c>
      <c r="I188" s="2">
        <v>530.20000000000005</v>
      </c>
      <c r="J188" s="2">
        <v>369.32</v>
      </c>
      <c r="K188" s="2">
        <v>160.88</v>
      </c>
      <c r="L188" s="2">
        <v>30.34</v>
      </c>
      <c r="M188" s="2">
        <v>530.20000000000005</v>
      </c>
      <c r="N188" s="2">
        <v>369.32</v>
      </c>
      <c r="O188" s="2">
        <v>110.88</v>
      </c>
      <c r="P188" s="2">
        <v>30.34</v>
      </c>
    </row>
    <row r="189" spans="1:16" x14ac:dyDescent="0.25">
      <c r="A189" t="s">
        <v>15</v>
      </c>
      <c r="B189" t="s">
        <v>16</v>
      </c>
      <c r="C189" t="s">
        <v>17</v>
      </c>
      <c r="D189" t="s">
        <v>330</v>
      </c>
      <c r="E189" t="s">
        <v>19</v>
      </c>
      <c r="F189" t="s">
        <v>331</v>
      </c>
      <c r="G189" s="1">
        <f>45671</f>
        <v>45671</v>
      </c>
      <c r="H189" t="s">
        <v>2422</v>
      </c>
      <c r="I189" s="2">
        <v>1446.6</v>
      </c>
      <c r="J189" s="2">
        <v>1081.1199999999999</v>
      </c>
      <c r="K189" s="2">
        <v>365.48</v>
      </c>
      <c r="L189" s="2">
        <v>25.26</v>
      </c>
      <c r="M189" s="2">
        <v>1446.6</v>
      </c>
      <c r="N189" s="2">
        <v>1081.1199999999999</v>
      </c>
      <c r="O189" s="2">
        <v>311.48</v>
      </c>
      <c r="P189" s="2">
        <v>25.26</v>
      </c>
    </row>
    <row r="190" spans="1:16" x14ac:dyDescent="0.25">
      <c r="A190" t="s">
        <v>15</v>
      </c>
      <c r="B190" t="s">
        <v>16</v>
      </c>
      <c r="C190" t="s">
        <v>17</v>
      </c>
      <c r="D190" t="s">
        <v>332</v>
      </c>
      <c r="E190" t="s">
        <v>19</v>
      </c>
      <c r="F190" t="s">
        <v>333</v>
      </c>
      <c r="G190" s="1">
        <f>45672</f>
        <v>45672</v>
      </c>
      <c r="H190" t="s">
        <v>2422</v>
      </c>
      <c r="I190" s="2">
        <v>4214.1000000000004</v>
      </c>
      <c r="J190" s="2">
        <v>2977.6</v>
      </c>
      <c r="K190" s="2">
        <v>1236.5</v>
      </c>
      <c r="L190" s="2">
        <v>29.34</v>
      </c>
      <c r="M190" s="2">
        <v>4214.1000000000004</v>
      </c>
      <c r="N190" s="2">
        <v>2977.6</v>
      </c>
      <c r="O190" s="2">
        <v>1164.5</v>
      </c>
      <c r="P190" s="2">
        <v>29.34</v>
      </c>
    </row>
    <row r="191" spans="1:16" x14ac:dyDescent="0.25">
      <c r="A191" t="s">
        <v>15</v>
      </c>
      <c r="B191" t="s">
        <v>16</v>
      </c>
      <c r="C191" t="s">
        <v>17</v>
      </c>
      <c r="D191" t="s">
        <v>334</v>
      </c>
      <c r="E191" t="s">
        <v>19</v>
      </c>
      <c r="F191" t="s">
        <v>28</v>
      </c>
      <c r="G191" s="1">
        <f>45672</f>
        <v>45672</v>
      </c>
      <c r="H191" t="s">
        <v>2422</v>
      </c>
      <c r="I191" s="2">
        <v>189</v>
      </c>
      <c r="J191" s="2">
        <v>109.2</v>
      </c>
      <c r="K191" s="2">
        <v>79.8</v>
      </c>
      <c r="L191" s="2">
        <v>42.22</v>
      </c>
      <c r="M191" s="2">
        <v>189</v>
      </c>
      <c r="N191" s="2">
        <v>109.2</v>
      </c>
      <c r="O191" s="2">
        <v>45.8</v>
      </c>
      <c r="P191" s="2">
        <v>42.22</v>
      </c>
    </row>
    <row r="192" spans="1:16" x14ac:dyDescent="0.25">
      <c r="A192" t="s">
        <v>15</v>
      </c>
      <c r="B192" t="s">
        <v>16</v>
      </c>
      <c r="C192" t="s">
        <v>17</v>
      </c>
      <c r="D192" t="s">
        <v>335</v>
      </c>
      <c r="E192" t="s">
        <v>19</v>
      </c>
      <c r="F192" t="s">
        <v>320</v>
      </c>
      <c r="G192" s="1">
        <f>45672</f>
        <v>45672</v>
      </c>
      <c r="H192" t="s">
        <v>2422</v>
      </c>
      <c r="I192" s="2">
        <v>692.58</v>
      </c>
      <c r="J192" s="2">
        <v>430</v>
      </c>
      <c r="K192" s="2">
        <v>262.58</v>
      </c>
      <c r="L192" s="2">
        <v>37.909999999999997</v>
      </c>
      <c r="M192" s="2">
        <v>692.58</v>
      </c>
      <c r="N192" s="2">
        <v>430</v>
      </c>
      <c r="O192" s="2">
        <v>218.58</v>
      </c>
      <c r="P192" s="2">
        <v>37.909999999999997</v>
      </c>
    </row>
    <row r="193" spans="1:16" x14ac:dyDescent="0.25">
      <c r="A193" t="s">
        <v>15</v>
      </c>
      <c r="B193" t="s">
        <v>16</v>
      </c>
      <c r="C193" t="s">
        <v>17</v>
      </c>
      <c r="D193" t="s">
        <v>336</v>
      </c>
      <c r="E193" t="s">
        <v>19</v>
      </c>
      <c r="F193" t="s">
        <v>337</v>
      </c>
      <c r="G193" s="1">
        <f>45673</f>
        <v>45673</v>
      </c>
      <c r="H193" t="s">
        <v>2422</v>
      </c>
      <c r="I193" s="2">
        <v>384.4</v>
      </c>
      <c r="J193" s="2">
        <v>280.69</v>
      </c>
      <c r="K193" s="2">
        <v>103.71</v>
      </c>
      <c r="L193" s="2">
        <v>26.98</v>
      </c>
      <c r="M193" s="2">
        <v>384.4</v>
      </c>
      <c r="N193" s="2">
        <v>280.69</v>
      </c>
      <c r="O193" s="2">
        <v>89.38</v>
      </c>
      <c r="P193" s="2">
        <v>26.98</v>
      </c>
    </row>
    <row r="194" spans="1:16" x14ac:dyDescent="0.25">
      <c r="A194" t="s">
        <v>15</v>
      </c>
      <c r="B194" t="s">
        <v>16</v>
      </c>
      <c r="C194" t="s">
        <v>17</v>
      </c>
      <c r="D194" t="s">
        <v>338</v>
      </c>
      <c r="E194" t="s">
        <v>47</v>
      </c>
      <c r="F194" t="s">
        <v>339</v>
      </c>
      <c r="G194" s="1">
        <f>45673</f>
        <v>45673</v>
      </c>
      <c r="H194" t="s">
        <v>84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2.0699999999999998</v>
      </c>
      <c r="O194" s="2">
        <v>-2.0699999999999998</v>
      </c>
      <c r="P194" s="2">
        <v>0</v>
      </c>
    </row>
    <row r="195" spans="1:16" x14ac:dyDescent="0.25">
      <c r="A195" t="s">
        <v>15</v>
      </c>
      <c r="B195" t="s">
        <v>16</v>
      </c>
      <c r="C195" t="s">
        <v>17</v>
      </c>
      <c r="D195" t="s">
        <v>340</v>
      </c>
      <c r="E195" t="s">
        <v>47</v>
      </c>
      <c r="F195" t="s">
        <v>316</v>
      </c>
      <c r="G195" s="1">
        <f>45674</f>
        <v>45674</v>
      </c>
      <c r="H195" t="s">
        <v>2422</v>
      </c>
      <c r="I195" s="2">
        <v>1088.5999999999999</v>
      </c>
      <c r="J195" s="2">
        <v>596</v>
      </c>
      <c r="K195" s="2">
        <v>492.6</v>
      </c>
      <c r="L195" s="2">
        <v>45.25</v>
      </c>
      <c r="M195" s="2">
        <v>1088.5999999999999</v>
      </c>
      <c r="N195" s="2">
        <v>596</v>
      </c>
      <c r="O195" s="2">
        <v>439.6</v>
      </c>
      <c r="P195" s="2">
        <v>45.25</v>
      </c>
    </row>
    <row r="196" spans="1:16" x14ac:dyDescent="0.25">
      <c r="A196" t="s">
        <v>15</v>
      </c>
      <c r="B196" t="s">
        <v>16</v>
      </c>
      <c r="C196" t="s">
        <v>17</v>
      </c>
      <c r="D196" t="s">
        <v>341</v>
      </c>
      <c r="E196" t="s">
        <v>19</v>
      </c>
      <c r="F196" t="s">
        <v>342</v>
      </c>
      <c r="G196" s="1">
        <f>45674</f>
        <v>45674</v>
      </c>
      <c r="H196" t="s">
        <v>2422</v>
      </c>
      <c r="I196" s="2">
        <v>799</v>
      </c>
      <c r="J196" s="2">
        <v>472.66</v>
      </c>
      <c r="K196" s="2">
        <v>326.33999999999997</v>
      </c>
      <c r="L196" s="2">
        <v>40.840000000000003</v>
      </c>
      <c r="M196" s="2">
        <v>799</v>
      </c>
      <c r="N196" s="2">
        <v>472.66</v>
      </c>
      <c r="O196" s="2">
        <v>317.33999999999997</v>
      </c>
      <c r="P196" s="2">
        <v>40.840000000000003</v>
      </c>
    </row>
    <row r="197" spans="1:16" x14ac:dyDescent="0.25">
      <c r="A197" t="s">
        <v>15</v>
      </c>
      <c r="B197" t="s">
        <v>16</v>
      </c>
      <c r="C197" t="s">
        <v>17</v>
      </c>
      <c r="D197" t="s">
        <v>343</v>
      </c>
      <c r="E197" t="s">
        <v>19</v>
      </c>
      <c r="F197" t="s">
        <v>344</v>
      </c>
      <c r="G197" s="1">
        <f>45674</f>
        <v>45674</v>
      </c>
      <c r="H197" t="s">
        <v>2422</v>
      </c>
      <c r="I197" s="2">
        <v>155.4</v>
      </c>
      <c r="J197" s="2">
        <v>143.08000000000001</v>
      </c>
      <c r="K197" s="2">
        <v>12.32</v>
      </c>
      <c r="L197" s="2">
        <v>7.93</v>
      </c>
      <c r="M197" s="2">
        <v>155.4</v>
      </c>
      <c r="N197" s="2">
        <v>144.80000000000001</v>
      </c>
      <c r="O197" s="2">
        <v>-48.4</v>
      </c>
      <c r="P197" s="2">
        <v>6.82</v>
      </c>
    </row>
    <row r="198" spans="1:16" x14ac:dyDescent="0.25">
      <c r="A198" t="s">
        <v>15</v>
      </c>
      <c r="B198" t="s">
        <v>16</v>
      </c>
      <c r="C198" t="s">
        <v>17</v>
      </c>
      <c r="D198" t="s">
        <v>345</v>
      </c>
      <c r="E198" t="s">
        <v>19</v>
      </c>
      <c r="F198" t="s">
        <v>346</v>
      </c>
      <c r="G198" s="1">
        <f>45674</f>
        <v>45674</v>
      </c>
      <c r="H198" t="s">
        <v>2422</v>
      </c>
      <c r="I198" s="2">
        <v>283.60000000000002</v>
      </c>
      <c r="J198" s="2">
        <v>190.34</v>
      </c>
      <c r="K198" s="2">
        <v>93.26</v>
      </c>
      <c r="L198" s="2">
        <v>32.880000000000003</v>
      </c>
      <c r="M198" s="2">
        <v>283.60000000000002</v>
      </c>
      <c r="N198" s="2">
        <v>190.34</v>
      </c>
      <c r="O198" s="2">
        <v>43.26</v>
      </c>
      <c r="P198" s="2">
        <v>32.880000000000003</v>
      </c>
    </row>
    <row r="199" spans="1:16" x14ac:dyDescent="0.25">
      <c r="A199" t="s">
        <v>15</v>
      </c>
      <c r="B199" t="s">
        <v>16</v>
      </c>
      <c r="C199" t="s">
        <v>17</v>
      </c>
      <c r="D199" t="s">
        <v>347</v>
      </c>
      <c r="E199" t="s">
        <v>19</v>
      </c>
      <c r="F199" t="s">
        <v>348</v>
      </c>
      <c r="G199" s="1">
        <f>45674</f>
        <v>45674</v>
      </c>
      <c r="H199" t="s">
        <v>2422</v>
      </c>
      <c r="I199" s="2">
        <v>931</v>
      </c>
      <c r="J199" s="2">
        <v>419.17</v>
      </c>
      <c r="K199" s="2">
        <v>511.83</v>
      </c>
      <c r="L199" s="2">
        <v>54.98</v>
      </c>
      <c r="M199" s="2">
        <v>931</v>
      </c>
      <c r="N199" s="2">
        <v>428.17</v>
      </c>
      <c r="O199" s="2">
        <v>395.83</v>
      </c>
      <c r="P199" s="2">
        <v>54.01</v>
      </c>
    </row>
    <row r="200" spans="1:16" x14ac:dyDescent="0.25">
      <c r="A200" t="s">
        <v>15</v>
      </c>
      <c r="B200" t="s">
        <v>16</v>
      </c>
      <c r="C200" t="s">
        <v>17</v>
      </c>
      <c r="D200" t="s">
        <v>349</v>
      </c>
      <c r="E200" t="s">
        <v>19</v>
      </c>
      <c r="F200" t="s">
        <v>350</v>
      </c>
      <c r="G200" s="1">
        <f>45677</f>
        <v>45677</v>
      </c>
      <c r="H200" t="s">
        <v>2422</v>
      </c>
      <c r="I200" s="2">
        <v>1577.19</v>
      </c>
      <c r="J200" s="2">
        <v>909.44</v>
      </c>
      <c r="K200" s="2">
        <v>667.75</v>
      </c>
      <c r="L200" s="2">
        <v>42.34</v>
      </c>
      <c r="M200" s="2">
        <v>1577.19</v>
      </c>
      <c r="N200" s="2">
        <v>909.47</v>
      </c>
      <c r="O200" s="2">
        <v>506.4</v>
      </c>
      <c r="P200" s="2">
        <v>42.34</v>
      </c>
    </row>
    <row r="201" spans="1:16" x14ac:dyDescent="0.25">
      <c r="A201" t="s">
        <v>15</v>
      </c>
      <c r="B201" t="s">
        <v>16</v>
      </c>
      <c r="C201" t="s">
        <v>17</v>
      </c>
      <c r="D201" t="s">
        <v>351</v>
      </c>
      <c r="E201" t="s">
        <v>19</v>
      </c>
      <c r="F201" t="s">
        <v>324</v>
      </c>
      <c r="G201" s="1">
        <f>45677</f>
        <v>45677</v>
      </c>
      <c r="H201" t="s">
        <v>2422</v>
      </c>
      <c r="I201" s="2">
        <v>1601.24</v>
      </c>
      <c r="J201" s="2">
        <v>893.12</v>
      </c>
      <c r="K201" s="2">
        <v>708.12</v>
      </c>
      <c r="L201" s="2">
        <v>44.22</v>
      </c>
      <c r="M201" s="2">
        <v>1601.24</v>
      </c>
      <c r="N201" s="2">
        <v>890.27</v>
      </c>
      <c r="O201" s="2">
        <v>648.97</v>
      </c>
      <c r="P201" s="2">
        <v>44.4</v>
      </c>
    </row>
    <row r="202" spans="1:16" x14ac:dyDescent="0.25">
      <c r="A202" t="s">
        <v>15</v>
      </c>
      <c r="B202" t="s">
        <v>16</v>
      </c>
      <c r="C202" t="s">
        <v>17</v>
      </c>
      <c r="D202" t="s">
        <v>352</v>
      </c>
      <c r="E202" t="s">
        <v>19</v>
      </c>
      <c r="F202" t="s">
        <v>353</v>
      </c>
      <c r="G202" s="1">
        <f>45678</f>
        <v>45678</v>
      </c>
      <c r="H202" t="s">
        <v>2422</v>
      </c>
      <c r="I202" s="2">
        <v>1131.06</v>
      </c>
      <c r="J202" s="2">
        <v>747</v>
      </c>
      <c r="K202" s="2">
        <v>384.06</v>
      </c>
      <c r="L202" s="2">
        <v>33.96</v>
      </c>
      <c r="M202" s="2">
        <v>1131.06</v>
      </c>
      <c r="N202" s="2">
        <v>745.5</v>
      </c>
      <c r="O202" s="2">
        <v>159.15</v>
      </c>
      <c r="P202" s="2">
        <v>34.090000000000003</v>
      </c>
    </row>
    <row r="203" spans="1:16" x14ac:dyDescent="0.25">
      <c r="A203" t="s">
        <v>15</v>
      </c>
      <c r="B203" t="s">
        <v>16</v>
      </c>
      <c r="C203" t="s">
        <v>17</v>
      </c>
      <c r="D203" t="s">
        <v>354</v>
      </c>
      <c r="E203" t="s">
        <v>19</v>
      </c>
      <c r="F203" t="s">
        <v>342</v>
      </c>
      <c r="G203" s="1">
        <f>45678</f>
        <v>45678</v>
      </c>
      <c r="H203" t="s">
        <v>2422</v>
      </c>
      <c r="I203" s="2">
        <v>2219</v>
      </c>
      <c r="J203" s="2">
        <v>1509</v>
      </c>
      <c r="K203" s="2">
        <v>710</v>
      </c>
      <c r="L203" s="2">
        <v>32</v>
      </c>
      <c r="M203" s="2">
        <v>2219</v>
      </c>
      <c r="N203" s="2">
        <v>1509</v>
      </c>
      <c r="O203" s="2">
        <v>710</v>
      </c>
      <c r="P203" s="2">
        <v>32</v>
      </c>
    </row>
    <row r="204" spans="1:16" x14ac:dyDescent="0.25">
      <c r="A204" t="s">
        <v>15</v>
      </c>
      <c r="B204" t="s">
        <v>16</v>
      </c>
      <c r="C204" t="s">
        <v>17</v>
      </c>
      <c r="D204" t="s">
        <v>355</v>
      </c>
      <c r="E204" t="s">
        <v>19</v>
      </c>
      <c r="F204" t="s">
        <v>318</v>
      </c>
      <c r="G204" s="1">
        <f>45678</f>
        <v>45678</v>
      </c>
      <c r="H204" t="s">
        <v>2422</v>
      </c>
      <c r="I204" s="2">
        <v>957.4</v>
      </c>
      <c r="J204" s="2">
        <v>614.79999999999995</v>
      </c>
      <c r="K204" s="2">
        <v>342.6</v>
      </c>
      <c r="L204" s="2">
        <v>35.78</v>
      </c>
      <c r="M204" s="2">
        <v>957.4</v>
      </c>
      <c r="N204" s="2">
        <v>614.79999999999995</v>
      </c>
      <c r="O204" s="2">
        <v>342.6</v>
      </c>
      <c r="P204" s="2">
        <v>35.78</v>
      </c>
    </row>
    <row r="205" spans="1:16" x14ac:dyDescent="0.25">
      <c r="A205" t="s">
        <v>15</v>
      </c>
      <c r="B205" t="s">
        <v>16</v>
      </c>
      <c r="C205" t="s">
        <v>17</v>
      </c>
      <c r="D205" t="s">
        <v>356</v>
      </c>
      <c r="E205" t="s">
        <v>19</v>
      </c>
      <c r="F205" t="s">
        <v>311</v>
      </c>
      <c r="G205" s="1">
        <f>45679</f>
        <v>45679</v>
      </c>
      <c r="H205" t="s">
        <v>2422</v>
      </c>
      <c r="I205" s="2">
        <v>148.80000000000001</v>
      </c>
      <c r="J205" s="2">
        <v>39.799999999999997</v>
      </c>
      <c r="K205" s="2">
        <v>109</v>
      </c>
      <c r="L205" s="2">
        <v>73.25</v>
      </c>
      <c r="M205" s="2">
        <v>148.80000000000001</v>
      </c>
      <c r="N205" s="2">
        <v>39.799999999999997</v>
      </c>
      <c r="O205" s="2">
        <v>100</v>
      </c>
      <c r="P205" s="2">
        <v>73.25</v>
      </c>
    </row>
    <row r="206" spans="1:16" x14ac:dyDescent="0.25">
      <c r="A206" t="s">
        <v>15</v>
      </c>
      <c r="B206" t="s">
        <v>16</v>
      </c>
      <c r="C206" t="s">
        <v>17</v>
      </c>
      <c r="D206" t="s">
        <v>357</v>
      </c>
      <c r="E206" t="s">
        <v>47</v>
      </c>
      <c r="F206" t="s">
        <v>318</v>
      </c>
      <c r="G206" s="1">
        <f>45679</f>
        <v>45679</v>
      </c>
      <c r="H206" t="s">
        <v>2422</v>
      </c>
      <c r="I206" s="2">
        <v>1747.41</v>
      </c>
      <c r="J206" s="2">
        <v>1149.5999999999999</v>
      </c>
      <c r="K206" s="2">
        <v>597.80999999999995</v>
      </c>
      <c r="L206" s="2">
        <v>34.21</v>
      </c>
      <c r="M206" s="2">
        <v>1747.41</v>
      </c>
      <c r="N206" s="2">
        <v>1149.5999999999999</v>
      </c>
      <c r="O206" s="2">
        <v>583.80999999999995</v>
      </c>
      <c r="P206" s="2">
        <v>34.21</v>
      </c>
    </row>
    <row r="207" spans="1:16" x14ac:dyDescent="0.25">
      <c r="A207" t="s">
        <v>15</v>
      </c>
      <c r="B207" t="s">
        <v>16</v>
      </c>
      <c r="C207" t="s">
        <v>17</v>
      </c>
      <c r="D207" t="s">
        <v>358</v>
      </c>
      <c r="E207" t="s">
        <v>19</v>
      </c>
      <c r="F207" t="s">
        <v>359</v>
      </c>
      <c r="G207" s="1">
        <f>45679</f>
        <v>45679</v>
      </c>
      <c r="H207" t="s">
        <v>2422</v>
      </c>
      <c r="I207" s="2">
        <v>1114.1500000000001</v>
      </c>
      <c r="J207" s="2">
        <v>751.66</v>
      </c>
      <c r="K207" s="2">
        <v>362.49</v>
      </c>
      <c r="L207" s="2">
        <v>32.54</v>
      </c>
      <c r="M207" s="2">
        <v>1114.1500000000001</v>
      </c>
      <c r="N207" s="2">
        <v>751.66</v>
      </c>
      <c r="O207" s="2">
        <v>353.49</v>
      </c>
      <c r="P207" s="2">
        <v>32.54</v>
      </c>
    </row>
    <row r="208" spans="1:16" x14ac:dyDescent="0.25">
      <c r="A208" t="s">
        <v>15</v>
      </c>
      <c r="B208" t="s">
        <v>16</v>
      </c>
      <c r="C208" t="s">
        <v>17</v>
      </c>
      <c r="D208" t="s">
        <v>360</v>
      </c>
      <c r="E208" t="s">
        <v>19</v>
      </c>
      <c r="F208" t="s">
        <v>361</v>
      </c>
      <c r="G208" s="1">
        <f>45680</f>
        <v>45680</v>
      </c>
      <c r="H208" t="s">
        <v>56</v>
      </c>
      <c r="I208" s="2">
        <v>468.9</v>
      </c>
      <c r="J208" s="2">
        <v>334.96</v>
      </c>
      <c r="K208" s="2">
        <v>133.94</v>
      </c>
      <c r="L208" s="2">
        <v>28.56</v>
      </c>
      <c r="M208" s="2">
        <v>468.9</v>
      </c>
      <c r="N208" s="2">
        <v>334.96</v>
      </c>
      <c r="O208" s="2">
        <v>133.94</v>
      </c>
      <c r="P208" s="2">
        <v>28.56</v>
      </c>
    </row>
    <row r="209" spans="1:16" x14ac:dyDescent="0.25">
      <c r="A209" t="s">
        <v>15</v>
      </c>
      <c r="B209" t="s">
        <v>16</v>
      </c>
      <c r="C209" t="s">
        <v>17</v>
      </c>
      <c r="D209" t="s">
        <v>362</v>
      </c>
      <c r="E209" t="s">
        <v>19</v>
      </c>
      <c r="F209" t="s">
        <v>363</v>
      </c>
      <c r="G209" s="1">
        <f>45680</f>
        <v>45680</v>
      </c>
      <c r="H209" t="s">
        <v>2422</v>
      </c>
      <c r="I209" s="2">
        <v>704</v>
      </c>
      <c r="J209" s="2">
        <v>485.45</v>
      </c>
      <c r="K209" s="2">
        <v>218.55</v>
      </c>
      <c r="L209" s="2">
        <v>31.04</v>
      </c>
      <c r="M209" s="2">
        <v>704</v>
      </c>
      <c r="N209" s="2">
        <v>485.46</v>
      </c>
      <c r="O209" s="2">
        <v>200.2</v>
      </c>
      <c r="P209" s="2">
        <v>31.04</v>
      </c>
    </row>
    <row r="210" spans="1:16" x14ac:dyDescent="0.25">
      <c r="A210" t="s">
        <v>15</v>
      </c>
      <c r="B210" t="s">
        <v>16</v>
      </c>
      <c r="C210" t="s">
        <v>17</v>
      </c>
      <c r="D210" t="s">
        <v>364</v>
      </c>
      <c r="E210" t="s">
        <v>19</v>
      </c>
      <c r="F210" t="s">
        <v>309</v>
      </c>
      <c r="G210" s="1">
        <f>45680</f>
        <v>45680</v>
      </c>
      <c r="H210" t="s">
        <v>2422</v>
      </c>
      <c r="I210" s="2">
        <v>552.14</v>
      </c>
      <c r="J210" s="2">
        <v>360.5</v>
      </c>
      <c r="K210" s="2">
        <v>191.64</v>
      </c>
      <c r="L210" s="2">
        <v>34.71</v>
      </c>
      <c r="M210" s="2">
        <v>552.14</v>
      </c>
      <c r="N210" s="2">
        <v>360.5</v>
      </c>
      <c r="O210" s="2">
        <v>191.64</v>
      </c>
      <c r="P210" s="2">
        <v>34.71</v>
      </c>
    </row>
    <row r="211" spans="1:16" x14ac:dyDescent="0.25">
      <c r="A211" t="s">
        <v>15</v>
      </c>
      <c r="B211" t="s">
        <v>16</v>
      </c>
      <c r="C211" t="s">
        <v>17</v>
      </c>
      <c r="D211" t="s">
        <v>365</v>
      </c>
      <c r="E211" t="s">
        <v>19</v>
      </c>
      <c r="F211" t="s">
        <v>366</v>
      </c>
      <c r="G211" s="1">
        <f>45680</f>
        <v>45680</v>
      </c>
      <c r="H211" t="s">
        <v>2422</v>
      </c>
      <c r="I211" s="2">
        <v>385</v>
      </c>
      <c r="J211" s="2">
        <v>253</v>
      </c>
      <c r="K211" s="2">
        <v>132</v>
      </c>
      <c r="L211" s="2">
        <v>34.29</v>
      </c>
      <c r="M211" s="2">
        <v>385</v>
      </c>
      <c r="N211" s="2">
        <v>253</v>
      </c>
      <c r="O211" s="2">
        <v>101</v>
      </c>
      <c r="P211" s="2">
        <v>34.29</v>
      </c>
    </row>
    <row r="212" spans="1:16" x14ac:dyDescent="0.25">
      <c r="A212" t="s">
        <v>15</v>
      </c>
      <c r="B212" t="s">
        <v>16</v>
      </c>
      <c r="C212" t="s">
        <v>17</v>
      </c>
      <c r="D212" t="s">
        <v>367</v>
      </c>
      <c r="E212" t="s">
        <v>19</v>
      </c>
      <c r="F212" t="s">
        <v>368</v>
      </c>
      <c r="G212" s="1">
        <f>45681</f>
        <v>45681</v>
      </c>
      <c r="H212" t="s">
        <v>2422</v>
      </c>
      <c r="I212" s="2">
        <v>880.3</v>
      </c>
      <c r="J212" s="2">
        <v>592.58000000000004</v>
      </c>
      <c r="K212" s="2">
        <v>287.72000000000003</v>
      </c>
      <c r="L212" s="2">
        <v>32.68</v>
      </c>
      <c r="M212" s="2">
        <v>880.3</v>
      </c>
      <c r="N212" s="2">
        <v>592.58000000000004</v>
      </c>
      <c r="O212" s="2">
        <v>259.72000000000003</v>
      </c>
      <c r="P212" s="2">
        <v>32.68</v>
      </c>
    </row>
    <row r="213" spans="1:16" x14ac:dyDescent="0.25">
      <c r="A213" t="s">
        <v>15</v>
      </c>
      <c r="B213" t="s">
        <v>16</v>
      </c>
      <c r="C213" t="s">
        <v>17</v>
      </c>
      <c r="D213" t="s">
        <v>369</v>
      </c>
      <c r="E213" t="s">
        <v>19</v>
      </c>
      <c r="F213" t="s">
        <v>370</v>
      </c>
      <c r="G213" s="1">
        <f>45684</f>
        <v>45684</v>
      </c>
      <c r="H213" t="s">
        <v>2422</v>
      </c>
      <c r="I213" s="2">
        <v>820.34</v>
      </c>
      <c r="J213" s="2">
        <v>583.37</v>
      </c>
      <c r="K213" s="2">
        <v>236.97</v>
      </c>
      <c r="L213" s="2">
        <v>28.89</v>
      </c>
      <c r="M213" s="2">
        <v>820.34</v>
      </c>
      <c r="N213" s="2">
        <v>595.9</v>
      </c>
      <c r="O213" s="2">
        <v>214.44</v>
      </c>
      <c r="P213" s="2">
        <v>27.36</v>
      </c>
    </row>
    <row r="214" spans="1:16" x14ac:dyDescent="0.25">
      <c r="A214" t="s">
        <v>15</v>
      </c>
      <c r="B214" t="s">
        <v>16</v>
      </c>
      <c r="C214" t="s">
        <v>17</v>
      </c>
      <c r="D214" t="s">
        <v>371</v>
      </c>
      <c r="E214" t="s">
        <v>19</v>
      </c>
      <c r="F214" t="s">
        <v>372</v>
      </c>
      <c r="G214" s="1">
        <f>45684</f>
        <v>45684</v>
      </c>
      <c r="H214" t="s">
        <v>2422</v>
      </c>
      <c r="I214" s="2">
        <v>189.67</v>
      </c>
      <c r="J214" s="2">
        <v>94.36</v>
      </c>
      <c r="K214" s="2">
        <v>95.31</v>
      </c>
      <c r="L214" s="2">
        <v>50.25</v>
      </c>
      <c r="M214" s="2">
        <v>22</v>
      </c>
      <c r="N214" s="2">
        <v>25</v>
      </c>
      <c r="O214" s="2">
        <v>-28</v>
      </c>
      <c r="P214" s="2">
        <v>-13.64</v>
      </c>
    </row>
    <row r="215" spans="1:16" x14ac:dyDescent="0.25">
      <c r="A215" t="s">
        <v>15</v>
      </c>
      <c r="B215" t="s">
        <v>16</v>
      </c>
      <c r="C215" t="s">
        <v>17</v>
      </c>
      <c r="D215" t="s">
        <v>373</v>
      </c>
      <c r="E215" t="s">
        <v>47</v>
      </c>
      <c r="F215" t="s">
        <v>309</v>
      </c>
      <c r="G215" s="1">
        <f>45685</f>
        <v>45685</v>
      </c>
      <c r="H215" t="s">
        <v>2422</v>
      </c>
      <c r="I215" s="2">
        <v>417</v>
      </c>
      <c r="J215" s="2">
        <v>283.52999999999997</v>
      </c>
      <c r="K215" s="2">
        <v>133.47</v>
      </c>
      <c r="L215" s="2">
        <v>32.01</v>
      </c>
      <c r="M215" s="2">
        <v>417</v>
      </c>
      <c r="N215" s="2">
        <v>283.52999999999997</v>
      </c>
      <c r="O215" s="2">
        <v>83.47</v>
      </c>
      <c r="P215" s="2">
        <v>32.01</v>
      </c>
    </row>
    <row r="216" spans="1:16" x14ac:dyDescent="0.25">
      <c r="A216" t="s">
        <v>15</v>
      </c>
      <c r="B216" t="s">
        <v>16</v>
      </c>
      <c r="C216" t="s">
        <v>17</v>
      </c>
      <c r="D216" t="s">
        <v>374</v>
      </c>
      <c r="E216" t="s">
        <v>19</v>
      </c>
      <c r="F216" t="s">
        <v>337</v>
      </c>
      <c r="G216" s="1">
        <f>45686</f>
        <v>45686</v>
      </c>
      <c r="H216" t="s">
        <v>2422</v>
      </c>
      <c r="I216" s="2">
        <v>523.35</v>
      </c>
      <c r="J216" s="2">
        <v>357.18</v>
      </c>
      <c r="K216" s="2">
        <v>166.17</v>
      </c>
      <c r="L216" s="2">
        <v>31.75</v>
      </c>
      <c r="M216" s="2">
        <v>523.35</v>
      </c>
      <c r="N216" s="2">
        <v>357.18</v>
      </c>
      <c r="O216" s="2">
        <v>157.16999999999999</v>
      </c>
      <c r="P216" s="2">
        <v>31.75</v>
      </c>
    </row>
    <row r="217" spans="1:16" x14ac:dyDescent="0.25">
      <c r="A217" t="s">
        <v>15</v>
      </c>
      <c r="B217" t="s">
        <v>16</v>
      </c>
      <c r="C217" t="s">
        <v>17</v>
      </c>
      <c r="D217" t="s">
        <v>375</v>
      </c>
      <c r="E217" t="s">
        <v>47</v>
      </c>
      <c r="F217" t="s">
        <v>348</v>
      </c>
      <c r="G217" s="1">
        <f>45688</f>
        <v>45688</v>
      </c>
      <c r="H217" t="s">
        <v>2422</v>
      </c>
      <c r="I217" s="2">
        <v>1006.4</v>
      </c>
      <c r="J217" s="2">
        <v>727.99</v>
      </c>
      <c r="K217" s="2">
        <v>278.41000000000003</v>
      </c>
      <c r="L217" s="2">
        <v>27.66</v>
      </c>
      <c r="M217" s="2">
        <v>1006.4</v>
      </c>
      <c r="N217" s="2">
        <v>727.99</v>
      </c>
      <c r="O217" s="2">
        <v>230.41</v>
      </c>
      <c r="P217" s="2">
        <v>27.66</v>
      </c>
    </row>
    <row r="218" spans="1:16" x14ac:dyDescent="0.25">
      <c r="A218" t="s">
        <v>15</v>
      </c>
      <c r="B218" t="s">
        <v>16</v>
      </c>
      <c r="C218" t="s">
        <v>17</v>
      </c>
      <c r="D218" t="s">
        <v>376</v>
      </c>
      <c r="E218" t="s">
        <v>19</v>
      </c>
      <c r="F218" t="s">
        <v>320</v>
      </c>
      <c r="G218" s="1">
        <f>45681</f>
        <v>45681</v>
      </c>
      <c r="H218" t="s">
        <v>2422</v>
      </c>
      <c r="I218" s="2">
        <v>4201</v>
      </c>
      <c r="J218" s="2">
        <v>3058.31</v>
      </c>
      <c r="K218" s="2">
        <v>1142.69</v>
      </c>
      <c r="L218" s="2">
        <v>27.2</v>
      </c>
      <c r="M218" s="2">
        <v>4201</v>
      </c>
      <c r="N218" s="2">
        <v>3058.31</v>
      </c>
      <c r="O218" s="2">
        <v>1128.68</v>
      </c>
      <c r="P218" s="2">
        <v>27.2</v>
      </c>
    </row>
    <row r="219" spans="1:16" x14ac:dyDescent="0.25">
      <c r="A219" t="s">
        <v>15</v>
      </c>
      <c r="B219" t="s">
        <v>16</v>
      </c>
      <c r="C219" t="s">
        <v>17</v>
      </c>
      <c r="D219" t="s">
        <v>377</v>
      </c>
      <c r="E219" t="s">
        <v>19</v>
      </c>
      <c r="F219" t="s">
        <v>320</v>
      </c>
      <c r="G219" s="1">
        <f>45688</f>
        <v>45688</v>
      </c>
      <c r="H219" t="s">
        <v>2422</v>
      </c>
      <c r="I219" s="2">
        <v>5550</v>
      </c>
      <c r="J219" s="2">
        <v>3924.52</v>
      </c>
      <c r="K219" s="2">
        <v>1625.48</v>
      </c>
      <c r="L219" s="2">
        <v>29.29</v>
      </c>
      <c r="M219" s="2">
        <v>5550</v>
      </c>
      <c r="N219" s="2">
        <v>3924.52</v>
      </c>
      <c r="O219" s="2">
        <v>1529.76</v>
      </c>
      <c r="P219" s="2">
        <v>29.29</v>
      </c>
    </row>
    <row r="220" spans="1:16" x14ac:dyDescent="0.25">
      <c r="A220" t="s">
        <v>15</v>
      </c>
      <c r="B220" t="s">
        <v>16</v>
      </c>
      <c r="C220" t="s">
        <v>17</v>
      </c>
      <c r="D220" t="s">
        <v>378</v>
      </c>
      <c r="E220" t="s">
        <v>47</v>
      </c>
      <c r="F220" t="s">
        <v>320</v>
      </c>
      <c r="G220" s="1">
        <f>45688</f>
        <v>45688</v>
      </c>
      <c r="H220" t="s">
        <v>2422</v>
      </c>
      <c r="I220" s="2">
        <v>1693.3</v>
      </c>
      <c r="J220" s="2">
        <v>293.64</v>
      </c>
      <c r="K220" s="2">
        <v>1399.66</v>
      </c>
      <c r="L220" s="2">
        <v>82.66</v>
      </c>
      <c r="M220" s="2">
        <v>1693.3</v>
      </c>
      <c r="N220" s="2">
        <v>488.22</v>
      </c>
      <c r="O220" s="2">
        <v>1196.08</v>
      </c>
      <c r="P220" s="2">
        <v>71.17</v>
      </c>
    </row>
    <row r="221" spans="1:16" x14ac:dyDescent="0.25">
      <c r="A221" t="s">
        <v>15</v>
      </c>
      <c r="B221" t="s">
        <v>379</v>
      </c>
      <c r="C221" t="s">
        <v>17</v>
      </c>
      <c r="D221" t="s">
        <v>380</v>
      </c>
      <c r="E221" t="s">
        <v>47</v>
      </c>
      <c r="F221" t="s">
        <v>37</v>
      </c>
      <c r="G221" s="1">
        <f>45698</f>
        <v>45698</v>
      </c>
      <c r="H221" t="s">
        <v>2422</v>
      </c>
      <c r="I221" s="2">
        <v>406.6</v>
      </c>
      <c r="J221" s="2">
        <v>239.8</v>
      </c>
      <c r="K221" s="2">
        <v>166.8</v>
      </c>
      <c r="L221" s="2">
        <v>41.02</v>
      </c>
      <c r="M221" s="2">
        <v>406.6</v>
      </c>
      <c r="N221" s="2">
        <v>239.8</v>
      </c>
      <c r="O221" s="2">
        <v>126.8</v>
      </c>
      <c r="P221" s="2">
        <v>41.02</v>
      </c>
    </row>
    <row r="222" spans="1:16" x14ac:dyDescent="0.25">
      <c r="A222" t="s">
        <v>15</v>
      </c>
      <c r="B222" t="s">
        <v>379</v>
      </c>
      <c r="C222" t="s">
        <v>17</v>
      </c>
      <c r="D222" t="s">
        <v>381</v>
      </c>
      <c r="E222" t="s">
        <v>19</v>
      </c>
      <c r="F222" t="s">
        <v>382</v>
      </c>
      <c r="G222" s="1">
        <f>45700</f>
        <v>45700</v>
      </c>
      <c r="H222" t="s">
        <v>2422</v>
      </c>
      <c r="I222" s="2">
        <v>555.70000000000005</v>
      </c>
      <c r="J222" s="2">
        <v>395</v>
      </c>
      <c r="K222" s="2">
        <v>160.69999999999999</v>
      </c>
      <c r="L222" s="2">
        <v>28.92</v>
      </c>
      <c r="M222" s="2">
        <v>555.70000000000005</v>
      </c>
      <c r="N222" s="2">
        <v>395</v>
      </c>
      <c r="O222" s="2">
        <v>120.7</v>
      </c>
      <c r="P222" s="2">
        <v>28.92</v>
      </c>
    </row>
    <row r="223" spans="1:16" x14ac:dyDescent="0.25">
      <c r="A223" t="s">
        <v>15</v>
      </c>
      <c r="B223" t="s">
        <v>379</v>
      </c>
      <c r="C223" t="s">
        <v>17</v>
      </c>
      <c r="D223" t="s">
        <v>383</v>
      </c>
      <c r="E223" t="s">
        <v>19</v>
      </c>
      <c r="F223" t="s">
        <v>384</v>
      </c>
      <c r="G223" s="1">
        <f>45702</f>
        <v>45702</v>
      </c>
      <c r="H223" t="s">
        <v>2422</v>
      </c>
      <c r="I223" s="2">
        <v>5934.66</v>
      </c>
      <c r="J223" s="2">
        <v>3999.48</v>
      </c>
      <c r="K223" s="2">
        <v>1935.18</v>
      </c>
      <c r="L223" s="2">
        <v>32.61</v>
      </c>
      <c r="M223" s="2">
        <v>5934.66</v>
      </c>
      <c r="N223" s="2">
        <v>3999.48</v>
      </c>
      <c r="O223" s="2">
        <v>1881.06</v>
      </c>
      <c r="P223" s="2">
        <v>32.61</v>
      </c>
    </row>
    <row r="224" spans="1:16" x14ac:dyDescent="0.25">
      <c r="A224" t="s">
        <v>15</v>
      </c>
      <c r="B224" t="s">
        <v>379</v>
      </c>
      <c r="C224" t="s">
        <v>17</v>
      </c>
      <c r="D224" t="s">
        <v>385</v>
      </c>
      <c r="E224" t="s">
        <v>19</v>
      </c>
      <c r="F224" t="s">
        <v>384</v>
      </c>
      <c r="G224" s="1">
        <f>45706</f>
        <v>45706</v>
      </c>
      <c r="H224" t="s">
        <v>2422</v>
      </c>
      <c r="I224" s="2">
        <v>936.12</v>
      </c>
      <c r="J224" s="2">
        <v>613.85</v>
      </c>
      <c r="K224" s="2">
        <v>322.27</v>
      </c>
      <c r="L224" s="2">
        <v>34.43</v>
      </c>
      <c r="M224" s="2">
        <v>936.12</v>
      </c>
      <c r="N224" s="2">
        <v>613.85</v>
      </c>
      <c r="O224" s="2">
        <v>287.27</v>
      </c>
      <c r="P224" s="2">
        <v>34.43</v>
      </c>
    </row>
    <row r="225" spans="1:16" x14ac:dyDescent="0.25">
      <c r="A225" t="s">
        <v>15</v>
      </c>
      <c r="B225" t="s">
        <v>379</v>
      </c>
      <c r="C225" t="s">
        <v>17</v>
      </c>
      <c r="D225" t="s">
        <v>386</v>
      </c>
      <c r="E225" t="s">
        <v>19</v>
      </c>
      <c r="F225" t="s">
        <v>33</v>
      </c>
      <c r="G225" s="1">
        <f>45707</f>
        <v>45707</v>
      </c>
      <c r="H225" t="s">
        <v>2422</v>
      </c>
      <c r="I225" s="2">
        <v>377.42</v>
      </c>
      <c r="J225" s="2">
        <v>280.68</v>
      </c>
      <c r="K225" s="2">
        <v>96.74</v>
      </c>
      <c r="L225" s="2">
        <v>25.63</v>
      </c>
      <c r="M225" s="2">
        <v>377.42</v>
      </c>
      <c r="N225" s="2">
        <v>280.68</v>
      </c>
      <c r="O225" s="2">
        <v>37.74</v>
      </c>
      <c r="P225" s="2">
        <v>25.63</v>
      </c>
    </row>
    <row r="226" spans="1:16" x14ac:dyDescent="0.25">
      <c r="A226" t="s">
        <v>15</v>
      </c>
      <c r="B226" t="s">
        <v>379</v>
      </c>
      <c r="C226" t="s">
        <v>17</v>
      </c>
      <c r="D226" t="s">
        <v>387</v>
      </c>
      <c r="E226" t="s">
        <v>19</v>
      </c>
      <c r="F226" t="s">
        <v>388</v>
      </c>
      <c r="G226" s="1">
        <f>45712</f>
        <v>45712</v>
      </c>
      <c r="H226" t="s">
        <v>51</v>
      </c>
      <c r="I226" s="2">
        <v>377.5</v>
      </c>
      <c r="J226" s="2">
        <v>240</v>
      </c>
      <c r="K226" s="2">
        <v>137.5</v>
      </c>
      <c r="L226" s="2">
        <v>36.42</v>
      </c>
      <c r="M226" s="2">
        <v>377.5</v>
      </c>
      <c r="N226" s="2">
        <v>240</v>
      </c>
      <c r="O226" s="2">
        <v>112.5</v>
      </c>
      <c r="P226" s="2">
        <v>36.42</v>
      </c>
    </row>
    <row r="227" spans="1:16" x14ac:dyDescent="0.25">
      <c r="A227" t="s">
        <v>15</v>
      </c>
      <c r="B227" t="s">
        <v>379</v>
      </c>
      <c r="C227" t="s">
        <v>17</v>
      </c>
      <c r="D227" t="s">
        <v>389</v>
      </c>
      <c r="E227" t="s">
        <v>47</v>
      </c>
      <c r="F227" t="s">
        <v>390</v>
      </c>
      <c r="G227" s="1">
        <f>45715</f>
        <v>45715</v>
      </c>
      <c r="H227" t="s">
        <v>2422</v>
      </c>
      <c r="I227" s="2">
        <v>494.62</v>
      </c>
      <c r="J227" s="2">
        <v>330.37</v>
      </c>
      <c r="K227" s="2">
        <v>164.25</v>
      </c>
      <c r="L227" s="2">
        <v>33.21</v>
      </c>
      <c r="M227" s="2">
        <v>494.62</v>
      </c>
      <c r="N227" s="2">
        <v>330.37</v>
      </c>
      <c r="O227" s="2">
        <v>152.38</v>
      </c>
      <c r="P227" s="2">
        <v>33.21</v>
      </c>
    </row>
    <row r="228" spans="1:16" x14ac:dyDescent="0.25">
      <c r="A228" t="s">
        <v>15</v>
      </c>
      <c r="B228" t="s">
        <v>379</v>
      </c>
      <c r="C228" t="s">
        <v>17</v>
      </c>
      <c r="D228" t="s">
        <v>391</v>
      </c>
      <c r="E228" t="s">
        <v>47</v>
      </c>
      <c r="F228" t="s">
        <v>392</v>
      </c>
      <c r="G228" s="1">
        <f>45716</f>
        <v>45716</v>
      </c>
      <c r="H228" t="s">
        <v>2422</v>
      </c>
      <c r="I228" s="2">
        <v>301.39999999999998</v>
      </c>
      <c r="J228" s="2">
        <v>199.01</v>
      </c>
      <c r="K228" s="2">
        <v>102.39</v>
      </c>
      <c r="L228" s="2">
        <v>33.97</v>
      </c>
      <c r="M228" s="2">
        <v>301.39999999999998</v>
      </c>
      <c r="N228" s="2">
        <v>199</v>
      </c>
      <c r="O228" s="2">
        <v>68.400000000000006</v>
      </c>
      <c r="P228" s="2">
        <v>33.97</v>
      </c>
    </row>
    <row r="229" spans="1:16" x14ac:dyDescent="0.25">
      <c r="A229" t="s">
        <v>15</v>
      </c>
      <c r="B229" t="s">
        <v>379</v>
      </c>
      <c r="C229" t="s">
        <v>42</v>
      </c>
      <c r="D229" t="s">
        <v>393</v>
      </c>
      <c r="E229" t="s">
        <v>19</v>
      </c>
      <c r="F229" t="s">
        <v>44</v>
      </c>
      <c r="G229" s="1">
        <f>45705</f>
        <v>45705</v>
      </c>
      <c r="H229" t="s">
        <v>2422</v>
      </c>
      <c r="I229" s="2">
        <v>3502</v>
      </c>
      <c r="J229" s="2">
        <v>1922.47</v>
      </c>
      <c r="K229" s="2">
        <v>1579.53</v>
      </c>
      <c r="L229" s="2">
        <v>45.1</v>
      </c>
      <c r="M229" s="2">
        <v>3502</v>
      </c>
      <c r="N229" s="2">
        <v>655</v>
      </c>
      <c r="O229" s="2">
        <v>2832</v>
      </c>
      <c r="P229" s="2">
        <v>81.3</v>
      </c>
    </row>
    <row r="230" spans="1:16" x14ac:dyDescent="0.25">
      <c r="A230" t="s">
        <v>15</v>
      </c>
      <c r="B230" t="s">
        <v>379</v>
      </c>
      <c r="C230" t="s">
        <v>42</v>
      </c>
      <c r="D230" t="s">
        <v>394</v>
      </c>
      <c r="E230" t="s">
        <v>47</v>
      </c>
      <c r="F230" t="s">
        <v>44</v>
      </c>
      <c r="G230" s="1">
        <f>45705</f>
        <v>45705</v>
      </c>
      <c r="H230" t="s">
        <v>2422</v>
      </c>
      <c r="I230" s="2">
        <v>321.3</v>
      </c>
      <c r="J230" s="2">
        <v>182.55</v>
      </c>
      <c r="K230" s="2">
        <v>138.75</v>
      </c>
      <c r="L230" s="2">
        <v>43.18</v>
      </c>
      <c r="M230" s="2">
        <v>321.3</v>
      </c>
      <c r="N230" s="2">
        <v>73</v>
      </c>
      <c r="O230" s="2">
        <v>239.3</v>
      </c>
      <c r="P230" s="2">
        <v>77.28</v>
      </c>
    </row>
    <row r="231" spans="1:16" x14ac:dyDescent="0.25">
      <c r="A231" t="s">
        <v>15</v>
      </c>
      <c r="B231" t="s">
        <v>379</v>
      </c>
      <c r="C231" t="s">
        <v>42</v>
      </c>
      <c r="D231" t="s">
        <v>395</v>
      </c>
      <c r="E231" t="s">
        <v>19</v>
      </c>
      <c r="F231" t="s">
        <v>396</v>
      </c>
      <c r="G231" s="1">
        <f>45691</f>
        <v>45691</v>
      </c>
      <c r="H231" t="s">
        <v>2422</v>
      </c>
      <c r="I231" s="2">
        <v>3346.8</v>
      </c>
      <c r="J231" s="2">
        <v>2129.3200000000002</v>
      </c>
      <c r="K231" s="2">
        <v>1217.48</v>
      </c>
      <c r="L231" s="2">
        <v>36.380000000000003</v>
      </c>
      <c r="M231" s="2">
        <v>3346.8</v>
      </c>
      <c r="N231" s="2">
        <v>2161.3200000000002</v>
      </c>
      <c r="O231" s="2">
        <v>1148.48</v>
      </c>
      <c r="P231" s="2">
        <v>35.42</v>
      </c>
    </row>
    <row r="232" spans="1:16" x14ac:dyDescent="0.25">
      <c r="A232" t="s">
        <v>15</v>
      </c>
      <c r="B232" t="s">
        <v>379</v>
      </c>
      <c r="C232" t="s">
        <v>42</v>
      </c>
      <c r="D232" t="s">
        <v>397</v>
      </c>
      <c r="E232" t="s">
        <v>19</v>
      </c>
      <c r="F232" t="s">
        <v>44</v>
      </c>
      <c r="G232" s="1">
        <f>45693</f>
        <v>45693</v>
      </c>
      <c r="H232" t="s">
        <v>2422</v>
      </c>
      <c r="I232" s="2">
        <v>260</v>
      </c>
      <c r="J232" s="2">
        <v>143.5</v>
      </c>
      <c r="K232" s="2">
        <v>116.5</v>
      </c>
      <c r="L232" s="2">
        <v>44.81</v>
      </c>
      <c r="M232" s="2">
        <v>260</v>
      </c>
      <c r="N232" s="2">
        <v>143.5</v>
      </c>
      <c r="O232" s="2">
        <v>107.5</v>
      </c>
      <c r="P232" s="2">
        <v>44.81</v>
      </c>
    </row>
    <row r="233" spans="1:16" x14ac:dyDescent="0.25">
      <c r="A233" t="s">
        <v>15</v>
      </c>
      <c r="B233" t="s">
        <v>379</v>
      </c>
      <c r="C233" t="s">
        <v>42</v>
      </c>
      <c r="D233" t="s">
        <v>398</v>
      </c>
      <c r="E233" t="s">
        <v>19</v>
      </c>
      <c r="F233" t="s">
        <v>48</v>
      </c>
      <c r="G233" s="1">
        <f>45714</f>
        <v>45714</v>
      </c>
      <c r="H233" t="s">
        <v>56</v>
      </c>
      <c r="I233" s="2">
        <v>720</v>
      </c>
      <c r="J233" s="2">
        <v>537.48</v>
      </c>
      <c r="K233" s="2">
        <v>182.52</v>
      </c>
      <c r="L233" s="2">
        <v>25.35</v>
      </c>
      <c r="M233" s="2">
        <v>720</v>
      </c>
      <c r="N233" s="2">
        <v>537.48</v>
      </c>
      <c r="O233" s="2">
        <v>182.52</v>
      </c>
      <c r="P233" s="2">
        <v>25.35</v>
      </c>
    </row>
    <row r="234" spans="1:16" x14ac:dyDescent="0.25">
      <c r="A234" t="s">
        <v>15</v>
      </c>
      <c r="B234" t="s">
        <v>379</v>
      </c>
      <c r="C234" t="s">
        <v>17</v>
      </c>
      <c r="D234" t="s">
        <v>399</v>
      </c>
      <c r="E234" t="s">
        <v>19</v>
      </c>
      <c r="F234" t="s">
        <v>400</v>
      </c>
      <c r="G234" s="1">
        <f>45699</f>
        <v>45699</v>
      </c>
      <c r="H234" t="s">
        <v>51</v>
      </c>
      <c r="I234" s="2">
        <v>5225.6000000000004</v>
      </c>
      <c r="J234" s="2">
        <v>3760.52</v>
      </c>
      <c r="K234" s="2">
        <v>1465.08</v>
      </c>
      <c r="L234" s="2">
        <v>28.04</v>
      </c>
      <c r="M234" s="2">
        <v>5225.6000000000004</v>
      </c>
      <c r="N234" s="2">
        <v>3760.52</v>
      </c>
      <c r="O234" s="2">
        <v>1373.36</v>
      </c>
      <c r="P234" s="2">
        <v>28.04</v>
      </c>
    </row>
    <row r="235" spans="1:16" x14ac:dyDescent="0.25">
      <c r="A235" t="s">
        <v>15</v>
      </c>
      <c r="B235" t="s">
        <v>379</v>
      </c>
      <c r="C235" t="s">
        <v>17</v>
      </c>
      <c r="D235" t="s">
        <v>401</v>
      </c>
      <c r="E235" t="s">
        <v>19</v>
      </c>
      <c r="F235" t="s">
        <v>402</v>
      </c>
      <c r="G235" s="1">
        <f>45701</f>
        <v>45701</v>
      </c>
      <c r="H235" t="s">
        <v>51</v>
      </c>
      <c r="I235" s="2">
        <v>1211.9000000000001</v>
      </c>
      <c r="J235" s="2">
        <v>786.41</v>
      </c>
      <c r="K235" s="2">
        <v>425.49</v>
      </c>
      <c r="L235" s="2">
        <v>35.11</v>
      </c>
      <c r="M235" s="2">
        <v>1211.9000000000001</v>
      </c>
      <c r="N235" s="2">
        <v>786.41</v>
      </c>
      <c r="O235" s="2">
        <v>345.49</v>
      </c>
      <c r="P235" s="2">
        <v>35.11</v>
      </c>
    </row>
    <row r="236" spans="1:16" x14ac:dyDescent="0.25">
      <c r="A236" t="s">
        <v>15</v>
      </c>
      <c r="B236" t="s">
        <v>379</v>
      </c>
      <c r="C236" t="s">
        <v>17</v>
      </c>
      <c r="D236" t="s">
        <v>403</v>
      </c>
      <c r="E236" t="s">
        <v>19</v>
      </c>
      <c r="F236" t="s">
        <v>404</v>
      </c>
      <c r="G236" s="1">
        <f>45705</f>
        <v>45705</v>
      </c>
      <c r="H236" t="s">
        <v>51</v>
      </c>
      <c r="I236" s="2">
        <v>1578.7</v>
      </c>
      <c r="J236" s="2">
        <v>1026.1400000000001</v>
      </c>
      <c r="K236" s="2">
        <v>552.55999999999995</v>
      </c>
      <c r="L236" s="2">
        <v>35</v>
      </c>
      <c r="M236" s="2">
        <v>1578.7</v>
      </c>
      <c r="N236" s="2">
        <v>1026.1300000000001</v>
      </c>
      <c r="O236" s="2">
        <v>524.57000000000005</v>
      </c>
      <c r="P236" s="2">
        <v>35</v>
      </c>
    </row>
    <row r="237" spans="1:16" x14ac:dyDescent="0.25">
      <c r="A237" t="s">
        <v>15</v>
      </c>
      <c r="B237" t="s">
        <v>379</v>
      </c>
      <c r="C237" t="s">
        <v>17</v>
      </c>
      <c r="D237" t="s">
        <v>405</v>
      </c>
      <c r="E237" t="s">
        <v>19</v>
      </c>
      <c r="F237" t="s">
        <v>53</v>
      </c>
      <c r="G237" s="1">
        <f>45715</f>
        <v>45715</v>
      </c>
      <c r="H237" t="s">
        <v>51</v>
      </c>
      <c r="I237" s="2">
        <v>274.39999999999998</v>
      </c>
      <c r="J237" s="2">
        <v>164.21</v>
      </c>
      <c r="K237" s="2">
        <v>110.19</v>
      </c>
      <c r="L237" s="2">
        <v>40.159999999999997</v>
      </c>
      <c r="M237" s="2">
        <v>274.39999999999998</v>
      </c>
      <c r="N237" s="2">
        <v>164.21</v>
      </c>
      <c r="O237" s="2">
        <v>108.73</v>
      </c>
      <c r="P237" s="2">
        <v>40.159999999999997</v>
      </c>
    </row>
    <row r="238" spans="1:16" x14ac:dyDescent="0.25">
      <c r="A238" t="s">
        <v>15</v>
      </c>
      <c r="B238" t="s">
        <v>379</v>
      </c>
      <c r="C238" t="s">
        <v>58</v>
      </c>
      <c r="D238" t="s">
        <v>406</v>
      </c>
      <c r="E238" t="s">
        <v>47</v>
      </c>
      <c r="F238" t="s">
        <v>144</v>
      </c>
      <c r="G238" s="1">
        <f>45706</f>
        <v>45706</v>
      </c>
      <c r="H238" t="s">
        <v>56</v>
      </c>
      <c r="I238" s="2">
        <v>803</v>
      </c>
      <c r="J238" s="2">
        <v>491.91</v>
      </c>
      <c r="K238" s="2">
        <v>311.08999999999997</v>
      </c>
      <c r="L238" s="2">
        <v>38.74</v>
      </c>
      <c r="M238" s="2">
        <v>803</v>
      </c>
      <c r="N238" s="2">
        <v>491.91</v>
      </c>
      <c r="O238" s="2">
        <v>164.07</v>
      </c>
      <c r="P238" s="2">
        <v>38.74</v>
      </c>
    </row>
    <row r="239" spans="1:16" x14ac:dyDescent="0.25">
      <c r="A239" t="s">
        <v>15</v>
      </c>
      <c r="B239" t="s">
        <v>379</v>
      </c>
      <c r="C239" t="s">
        <v>58</v>
      </c>
      <c r="D239" t="s">
        <v>407</v>
      </c>
      <c r="E239" t="s">
        <v>19</v>
      </c>
      <c r="F239" t="s">
        <v>408</v>
      </c>
      <c r="G239" s="1">
        <f>45706</f>
        <v>45706</v>
      </c>
      <c r="H239" t="s">
        <v>56</v>
      </c>
      <c r="I239" s="2">
        <v>119.11</v>
      </c>
      <c r="J239" s="2">
        <v>85.41</v>
      </c>
      <c r="K239" s="2">
        <v>33.700000000000003</v>
      </c>
      <c r="L239" s="2">
        <v>28.29</v>
      </c>
      <c r="M239" s="2">
        <v>123.61</v>
      </c>
      <c r="N239" s="2">
        <v>97.36</v>
      </c>
      <c r="O239" s="2">
        <v>4.4000000000000004</v>
      </c>
      <c r="P239" s="2">
        <v>21.24</v>
      </c>
    </row>
    <row r="240" spans="1:16" x14ac:dyDescent="0.25">
      <c r="A240" t="s">
        <v>15</v>
      </c>
      <c r="B240" t="s">
        <v>379</v>
      </c>
      <c r="C240" t="s">
        <v>58</v>
      </c>
      <c r="D240" t="s">
        <v>409</v>
      </c>
      <c r="E240" t="s">
        <v>19</v>
      </c>
      <c r="F240" t="s">
        <v>410</v>
      </c>
      <c r="G240" s="1">
        <f>45691</f>
        <v>45691</v>
      </c>
      <c r="H240" t="s">
        <v>56</v>
      </c>
      <c r="I240" s="2">
        <v>3043</v>
      </c>
      <c r="J240" s="2">
        <v>2066.1999999999998</v>
      </c>
      <c r="K240" s="2">
        <v>976.8</v>
      </c>
      <c r="L240" s="2">
        <v>32.1</v>
      </c>
      <c r="M240" s="2">
        <v>3043</v>
      </c>
      <c r="N240" s="2">
        <v>2066.1999999999998</v>
      </c>
      <c r="O240" s="2">
        <v>917.8</v>
      </c>
      <c r="P240" s="2">
        <v>32.1</v>
      </c>
    </row>
    <row r="241" spans="1:16" x14ac:dyDescent="0.25">
      <c r="A241" t="s">
        <v>15</v>
      </c>
      <c r="B241" t="s">
        <v>379</v>
      </c>
      <c r="C241" t="s">
        <v>58</v>
      </c>
      <c r="D241" t="s">
        <v>411</v>
      </c>
      <c r="E241" t="s">
        <v>47</v>
      </c>
      <c r="F241" t="s">
        <v>69</v>
      </c>
      <c r="G241" s="1">
        <f>45691</f>
        <v>45691</v>
      </c>
      <c r="H241" t="s">
        <v>84</v>
      </c>
      <c r="I241" s="2">
        <v>0</v>
      </c>
      <c r="J241" s="2">
        <v>0</v>
      </c>
      <c r="K241" s="2">
        <v>0</v>
      </c>
      <c r="L241" s="2">
        <v>0</v>
      </c>
      <c r="M241" s="2">
        <v>148.94</v>
      </c>
      <c r="N241" s="2">
        <v>124.28</v>
      </c>
      <c r="O241" s="2">
        <v>24.66</v>
      </c>
      <c r="P241" s="2">
        <v>16.559999999999999</v>
      </c>
    </row>
    <row r="242" spans="1:16" x14ac:dyDescent="0.25">
      <c r="A242" t="s">
        <v>15</v>
      </c>
      <c r="B242" t="s">
        <v>379</v>
      </c>
      <c r="C242" t="s">
        <v>58</v>
      </c>
      <c r="D242" t="s">
        <v>412</v>
      </c>
      <c r="E242" t="s">
        <v>19</v>
      </c>
      <c r="F242" t="s">
        <v>67</v>
      </c>
      <c r="G242" s="1">
        <f>45691</f>
        <v>45691</v>
      </c>
      <c r="H242" t="s">
        <v>56</v>
      </c>
      <c r="I242" s="2">
        <v>916.1</v>
      </c>
      <c r="J242" s="2">
        <v>619.47</v>
      </c>
      <c r="K242" s="2">
        <v>296.63</v>
      </c>
      <c r="L242" s="2">
        <v>32.380000000000003</v>
      </c>
      <c r="M242" s="2">
        <v>916.1</v>
      </c>
      <c r="N242" s="2">
        <v>621.02</v>
      </c>
      <c r="O242" s="2">
        <v>275.08</v>
      </c>
      <c r="P242" s="2">
        <v>32.21</v>
      </c>
    </row>
    <row r="243" spans="1:16" x14ac:dyDescent="0.25">
      <c r="A243" t="s">
        <v>15</v>
      </c>
      <c r="B243" t="s">
        <v>379</v>
      </c>
      <c r="C243" t="s">
        <v>58</v>
      </c>
      <c r="D243" t="s">
        <v>413</v>
      </c>
      <c r="E243" t="s">
        <v>47</v>
      </c>
      <c r="F243" t="s">
        <v>414</v>
      </c>
      <c r="G243" s="1">
        <f>45691</f>
        <v>45691</v>
      </c>
      <c r="H243" t="s">
        <v>84</v>
      </c>
      <c r="I243" s="2">
        <v>0</v>
      </c>
      <c r="J243" s="2">
        <v>0</v>
      </c>
      <c r="K243" s="2">
        <v>0</v>
      </c>
      <c r="L243" s="2">
        <v>0</v>
      </c>
      <c r="M243" s="2">
        <v>354.41</v>
      </c>
      <c r="N243" s="2">
        <v>207.3</v>
      </c>
      <c r="O243" s="2">
        <v>147.11000000000001</v>
      </c>
      <c r="P243" s="2">
        <v>41.51</v>
      </c>
    </row>
    <row r="244" spans="1:16" x14ac:dyDescent="0.25">
      <c r="A244" t="s">
        <v>15</v>
      </c>
      <c r="B244" t="s">
        <v>379</v>
      </c>
      <c r="C244" t="s">
        <v>58</v>
      </c>
      <c r="D244" t="s">
        <v>415</v>
      </c>
      <c r="E244" t="s">
        <v>19</v>
      </c>
      <c r="F244" t="s">
        <v>60</v>
      </c>
      <c r="G244" s="1">
        <f>45691</f>
        <v>45691</v>
      </c>
      <c r="H244" t="s">
        <v>56</v>
      </c>
      <c r="I244" s="2">
        <v>939.32</v>
      </c>
      <c r="J244" s="2">
        <v>540.21</v>
      </c>
      <c r="K244" s="2">
        <v>399.11</v>
      </c>
      <c r="L244" s="2">
        <v>42.49</v>
      </c>
      <c r="M244" s="2">
        <v>939.32</v>
      </c>
      <c r="N244" s="2">
        <v>527.32000000000005</v>
      </c>
      <c r="O244" s="2">
        <v>348</v>
      </c>
      <c r="P244" s="2">
        <v>43.86</v>
      </c>
    </row>
    <row r="245" spans="1:16" x14ac:dyDescent="0.25">
      <c r="A245" t="s">
        <v>15</v>
      </c>
      <c r="B245" t="s">
        <v>379</v>
      </c>
      <c r="C245" t="s">
        <v>58</v>
      </c>
      <c r="D245" t="s">
        <v>416</v>
      </c>
      <c r="E245" t="s">
        <v>19</v>
      </c>
      <c r="F245" t="s">
        <v>146</v>
      </c>
      <c r="G245" s="1">
        <f>45691</f>
        <v>45691</v>
      </c>
      <c r="H245" t="s">
        <v>56</v>
      </c>
      <c r="I245" s="2">
        <v>559</v>
      </c>
      <c r="J245" s="2">
        <v>301.52999999999997</v>
      </c>
      <c r="K245" s="2">
        <v>257.47000000000003</v>
      </c>
      <c r="L245" s="2">
        <v>46.06</v>
      </c>
      <c r="M245" s="2">
        <v>559</v>
      </c>
      <c r="N245" s="2">
        <v>300.33</v>
      </c>
      <c r="O245" s="2">
        <v>245.54</v>
      </c>
      <c r="P245" s="2">
        <v>46.27</v>
      </c>
    </row>
    <row r="246" spans="1:16" x14ac:dyDescent="0.25">
      <c r="A246" t="s">
        <v>15</v>
      </c>
      <c r="B246" t="s">
        <v>379</v>
      </c>
      <c r="C246" t="s">
        <v>58</v>
      </c>
      <c r="D246" t="s">
        <v>417</v>
      </c>
      <c r="E246" t="s">
        <v>47</v>
      </c>
      <c r="F246" t="s">
        <v>146</v>
      </c>
      <c r="G246" s="1">
        <f>45692</f>
        <v>45692</v>
      </c>
      <c r="H246" t="s">
        <v>70</v>
      </c>
      <c r="I246" s="2">
        <v>0</v>
      </c>
      <c r="J246" s="2">
        <v>0</v>
      </c>
      <c r="K246" s="2">
        <v>0</v>
      </c>
      <c r="L246" s="2">
        <v>0</v>
      </c>
      <c r="M246" s="2">
        <v>94.8</v>
      </c>
      <c r="N246" s="2">
        <v>59.26</v>
      </c>
      <c r="O246" s="2">
        <v>35.54</v>
      </c>
      <c r="P246" s="2">
        <v>37.49</v>
      </c>
    </row>
    <row r="247" spans="1:16" x14ac:dyDescent="0.25">
      <c r="A247" t="s">
        <v>15</v>
      </c>
      <c r="B247" t="s">
        <v>379</v>
      </c>
      <c r="C247" t="s">
        <v>58</v>
      </c>
      <c r="D247" t="s">
        <v>418</v>
      </c>
      <c r="E247" t="s">
        <v>47</v>
      </c>
      <c r="F247" t="s">
        <v>419</v>
      </c>
      <c r="G247" s="1">
        <f>45692</f>
        <v>45692</v>
      </c>
      <c r="H247" t="s">
        <v>70</v>
      </c>
      <c r="I247" s="2">
        <v>0</v>
      </c>
      <c r="J247" s="2">
        <v>0</v>
      </c>
      <c r="K247" s="2">
        <v>0</v>
      </c>
      <c r="L247" s="2">
        <v>0</v>
      </c>
      <c r="M247" s="2">
        <v>252.71</v>
      </c>
      <c r="N247" s="2">
        <v>146.52000000000001</v>
      </c>
      <c r="O247" s="2">
        <v>106.19</v>
      </c>
      <c r="P247" s="2">
        <v>42.02</v>
      </c>
    </row>
    <row r="248" spans="1:16" x14ac:dyDescent="0.25">
      <c r="A248" t="s">
        <v>15</v>
      </c>
      <c r="B248" t="s">
        <v>379</v>
      </c>
      <c r="C248" t="s">
        <v>58</v>
      </c>
      <c r="D248" t="s">
        <v>420</v>
      </c>
      <c r="E248" t="s">
        <v>19</v>
      </c>
      <c r="F248" t="s">
        <v>421</v>
      </c>
      <c r="G248" s="1">
        <f>45692</f>
        <v>45692</v>
      </c>
      <c r="H248" t="s">
        <v>51</v>
      </c>
      <c r="I248" s="2">
        <v>1839.12</v>
      </c>
      <c r="J248" s="2">
        <v>863.16</v>
      </c>
      <c r="K248" s="2">
        <v>975.96</v>
      </c>
      <c r="L248" s="2">
        <v>53.07</v>
      </c>
      <c r="M248" s="2">
        <v>1839.12</v>
      </c>
      <c r="N248" s="2">
        <v>803.85</v>
      </c>
      <c r="O248" s="2">
        <v>976.27</v>
      </c>
      <c r="P248" s="2">
        <v>56.29</v>
      </c>
    </row>
    <row r="249" spans="1:16" x14ac:dyDescent="0.25">
      <c r="A249" t="s">
        <v>15</v>
      </c>
      <c r="B249" t="s">
        <v>379</v>
      </c>
      <c r="C249" t="s">
        <v>58</v>
      </c>
      <c r="D249" t="s">
        <v>422</v>
      </c>
      <c r="E249" t="s">
        <v>19</v>
      </c>
      <c r="F249" t="s">
        <v>408</v>
      </c>
      <c r="G249" s="1">
        <f>45692</f>
        <v>45692</v>
      </c>
      <c r="H249" t="s">
        <v>56</v>
      </c>
      <c r="I249" s="2">
        <v>842.07</v>
      </c>
      <c r="J249" s="2">
        <v>526.28</v>
      </c>
      <c r="K249" s="2">
        <v>315.79000000000002</v>
      </c>
      <c r="L249" s="2">
        <v>37.5</v>
      </c>
      <c r="M249" s="2">
        <v>842.07</v>
      </c>
      <c r="N249" s="2">
        <v>536.28</v>
      </c>
      <c r="O249" s="2">
        <v>270.79000000000002</v>
      </c>
      <c r="P249" s="2">
        <v>36.31</v>
      </c>
    </row>
    <row r="250" spans="1:16" x14ac:dyDescent="0.25">
      <c r="A250" t="s">
        <v>15</v>
      </c>
      <c r="B250" t="s">
        <v>379</v>
      </c>
      <c r="C250" t="s">
        <v>58</v>
      </c>
      <c r="D250" t="s">
        <v>423</v>
      </c>
      <c r="E250" t="s">
        <v>19</v>
      </c>
      <c r="F250" t="s">
        <v>129</v>
      </c>
      <c r="G250" s="1">
        <f>45693</f>
        <v>45693</v>
      </c>
      <c r="H250" t="s">
        <v>56</v>
      </c>
      <c r="I250" s="2">
        <v>172</v>
      </c>
      <c r="J250" s="2">
        <v>91.7</v>
      </c>
      <c r="K250" s="2">
        <v>80.3</v>
      </c>
      <c r="L250" s="2">
        <v>46.69</v>
      </c>
      <c r="M250" s="2">
        <v>172</v>
      </c>
      <c r="N250" s="2">
        <v>91.7</v>
      </c>
      <c r="O250" s="2">
        <v>61.3</v>
      </c>
      <c r="P250" s="2">
        <v>46.69</v>
      </c>
    </row>
    <row r="251" spans="1:16" x14ac:dyDescent="0.25">
      <c r="A251" t="s">
        <v>15</v>
      </c>
      <c r="B251" t="s">
        <v>379</v>
      </c>
      <c r="C251" t="s">
        <v>58</v>
      </c>
      <c r="D251" t="s">
        <v>424</v>
      </c>
      <c r="E251" t="s">
        <v>19</v>
      </c>
      <c r="F251" t="s">
        <v>425</v>
      </c>
      <c r="G251" s="1">
        <f>45693</f>
        <v>45693</v>
      </c>
      <c r="H251" t="s">
        <v>56</v>
      </c>
      <c r="I251" s="2">
        <v>5099.95</v>
      </c>
      <c r="J251" s="2">
        <v>3732.83</v>
      </c>
      <c r="K251" s="2">
        <v>1367.12</v>
      </c>
      <c r="L251" s="2">
        <v>26.81</v>
      </c>
      <c r="M251" s="2">
        <v>5099.95</v>
      </c>
      <c r="N251" s="2">
        <v>4182.83</v>
      </c>
      <c r="O251" s="2">
        <v>908.12</v>
      </c>
      <c r="P251" s="2">
        <v>17.98</v>
      </c>
    </row>
    <row r="252" spans="1:16" x14ac:dyDescent="0.25">
      <c r="A252" t="s">
        <v>15</v>
      </c>
      <c r="B252" t="s">
        <v>379</v>
      </c>
      <c r="C252" t="s">
        <v>58</v>
      </c>
      <c r="D252" t="s">
        <v>426</v>
      </c>
      <c r="E252" t="s">
        <v>19</v>
      </c>
      <c r="F252" t="s">
        <v>427</v>
      </c>
      <c r="G252" s="1">
        <f>45693</f>
        <v>45693</v>
      </c>
      <c r="H252" t="s">
        <v>56</v>
      </c>
      <c r="I252" s="2">
        <v>172</v>
      </c>
      <c r="J252" s="2">
        <v>84.01</v>
      </c>
      <c r="K252" s="2">
        <v>87.99</v>
      </c>
      <c r="L252" s="2">
        <v>51.16</v>
      </c>
      <c r="M252" s="2">
        <v>172</v>
      </c>
      <c r="N252" s="2">
        <v>74.099999999999994</v>
      </c>
      <c r="O252" s="2">
        <v>44.9</v>
      </c>
      <c r="P252" s="2">
        <v>56.92</v>
      </c>
    </row>
    <row r="253" spans="1:16" x14ac:dyDescent="0.25">
      <c r="A253" t="s">
        <v>15</v>
      </c>
      <c r="B253" t="s">
        <v>379</v>
      </c>
      <c r="C253" t="s">
        <v>58</v>
      </c>
      <c r="D253" t="s">
        <v>428</v>
      </c>
      <c r="E253" t="s">
        <v>19</v>
      </c>
      <c r="F253" t="s">
        <v>64</v>
      </c>
      <c r="G253" s="1">
        <f>45693</f>
        <v>45693</v>
      </c>
      <c r="H253" t="s">
        <v>56</v>
      </c>
      <c r="I253" s="2">
        <v>698</v>
      </c>
      <c r="J253" s="2">
        <v>467.8</v>
      </c>
      <c r="K253" s="2">
        <v>230.2</v>
      </c>
      <c r="L253" s="2">
        <v>32.979999999999997</v>
      </c>
      <c r="M253" s="2">
        <v>698</v>
      </c>
      <c r="N253" s="2">
        <v>467.8</v>
      </c>
      <c r="O253" s="2">
        <v>220.2</v>
      </c>
      <c r="P253" s="2">
        <v>32.979999999999997</v>
      </c>
    </row>
    <row r="254" spans="1:16" x14ac:dyDescent="0.25">
      <c r="A254" t="s">
        <v>15</v>
      </c>
      <c r="B254" t="s">
        <v>379</v>
      </c>
      <c r="C254" t="s">
        <v>58</v>
      </c>
      <c r="D254" t="s">
        <v>429</v>
      </c>
      <c r="E254" t="s">
        <v>47</v>
      </c>
      <c r="F254" t="s">
        <v>414</v>
      </c>
      <c r="G254" s="1">
        <f>45693</f>
        <v>45693</v>
      </c>
      <c r="H254" t="s">
        <v>84</v>
      </c>
      <c r="I254" s="2">
        <v>0</v>
      </c>
      <c r="J254" s="2">
        <v>0</v>
      </c>
      <c r="K254" s="2">
        <v>0</v>
      </c>
      <c r="L254" s="2">
        <v>0</v>
      </c>
      <c r="M254" s="2">
        <v>1.61</v>
      </c>
      <c r="N254" s="2">
        <v>0.95</v>
      </c>
      <c r="O254" s="2">
        <v>0.66</v>
      </c>
      <c r="P254" s="2">
        <v>40.99</v>
      </c>
    </row>
    <row r="255" spans="1:16" x14ac:dyDescent="0.25">
      <c r="A255" t="s">
        <v>15</v>
      </c>
      <c r="B255" t="s">
        <v>379</v>
      </c>
      <c r="C255" t="s">
        <v>58</v>
      </c>
      <c r="D255" t="s">
        <v>430</v>
      </c>
      <c r="E255" t="s">
        <v>47</v>
      </c>
      <c r="F255" t="s">
        <v>146</v>
      </c>
      <c r="G255" s="1">
        <f>45693</f>
        <v>45693</v>
      </c>
      <c r="H255" t="s">
        <v>84</v>
      </c>
      <c r="I255" s="2">
        <v>0</v>
      </c>
      <c r="J255" s="2">
        <v>0</v>
      </c>
      <c r="K255" s="2">
        <v>0</v>
      </c>
      <c r="L255" s="2">
        <v>0</v>
      </c>
      <c r="M255" s="2">
        <v>622.27</v>
      </c>
      <c r="N255" s="2">
        <v>364.42</v>
      </c>
      <c r="O255" s="2">
        <v>257.85000000000002</v>
      </c>
      <c r="P255" s="2">
        <v>41.44</v>
      </c>
    </row>
    <row r="256" spans="1:16" x14ac:dyDescent="0.25">
      <c r="A256" t="s">
        <v>15</v>
      </c>
      <c r="B256" t="s">
        <v>379</v>
      </c>
      <c r="C256" t="s">
        <v>58</v>
      </c>
      <c r="D256" t="s">
        <v>431</v>
      </c>
      <c r="E256" t="s">
        <v>19</v>
      </c>
      <c r="F256" t="s">
        <v>95</v>
      </c>
      <c r="G256" s="1">
        <f>45694</f>
        <v>45694</v>
      </c>
      <c r="H256" t="s">
        <v>56</v>
      </c>
      <c r="I256" s="2">
        <v>258.89999999999998</v>
      </c>
      <c r="J256" s="2">
        <v>165</v>
      </c>
      <c r="K256" s="2">
        <v>93.9</v>
      </c>
      <c r="L256" s="2">
        <v>36.270000000000003</v>
      </c>
      <c r="M256" s="2">
        <v>258.89999999999998</v>
      </c>
      <c r="N256" s="2">
        <v>165</v>
      </c>
      <c r="O256" s="2">
        <v>78.900000000000006</v>
      </c>
      <c r="P256" s="2">
        <v>36.270000000000003</v>
      </c>
    </row>
    <row r="257" spans="1:16" x14ac:dyDescent="0.25">
      <c r="A257" t="s">
        <v>15</v>
      </c>
      <c r="B257" t="s">
        <v>379</v>
      </c>
      <c r="C257" t="s">
        <v>58</v>
      </c>
      <c r="D257" t="s">
        <v>432</v>
      </c>
      <c r="E257" t="s">
        <v>47</v>
      </c>
      <c r="F257" t="s">
        <v>97</v>
      </c>
      <c r="G257" s="1">
        <f>45694</f>
        <v>45694</v>
      </c>
      <c r="H257" t="s">
        <v>84</v>
      </c>
      <c r="I257" s="2">
        <v>0</v>
      </c>
      <c r="J257" s="2">
        <v>0</v>
      </c>
      <c r="K257" s="2">
        <v>0</v>
      </c>
      <c r="L257" s="2">
        <v>0</v>
      </c>
      <c r="M257" s="2">
        <v>216.45</v>
      </c>
      <c r="N257" s="2">
        <v>127.37</v>
      </c>
      <c r="O257" s="2">
        <v>89.08</v>
      </c>
      <c r="P257" s="2">
        <v>41.16</v>
      </c>
    </row>
    <row r="258" spans="1:16" x14ac:dyDescent="0.25">
      <c r="A258" t="s">
        <v>15</v>
      </c>
      <c r="B258" t="s">
        <v>379</v>
      </c>
      <c r="C258" t="s">
        <v>58</v>
      </c>
      <c r="D258" t="s">
        <v>433</v>
      </c>
      <c r="E258" t="s">
        <v>47</v>
      </c>
      <c r="F258" t="s">
        <v>434</v>
      </c>
      <c r="G258" s="1">
        <f>45695</f>
        <v>45695</v>
      </c>
      <c r="H258" t="s">
        <v>70</v>
      </c>
      <c r="I258" s="2">
        <v>0</v>
      </c>
      <c r="J258" s="2">
        <v>0</v>
      </c>
      <c r="K258" s="2">
        <v>0</v>
      </c>
      <c r="L258" s="2">
        <v>0</v>
      </c>
      <c r="M258" s="2">
        <v>25.12</v>
      </c>
      <c r="N258" s="2">
        <v>15.7</v>
      </c>
      <c r="O258" s="2">
        <v>9.42</v>
      </c>
      <c r="P258" s="2">
        <v>37.5</v>
      </c>
    </row>
    <row r="259" spans="1:16" x14ac:dyDescent="0.25">
      <c r="A259" t="s">
        <v>15</v>
      </c>
      <c r="B259" t="s">
        <v>379</v>
      </c>
      <c r="C259" t="s">
        <v>58</v>
      </c>
      <c r="D259" t="s">
        <v>435</v>
      </c>
      <c r="E259" t="s">
        <v>19</v>
      </c>
      <c r="F259" t="s">
        <v>436</v>
      </c>
      <c r="G259" s="1">
        <f>45698</f>
        <v>45698</v>
      </c>
      <c r="H259" t="s">
        <v>51</v>
      </c>
      <c r="I259" s="2">
        <v>679.79</v>
      </c>
      <c r="J259" s="2">
        <v>386.18</v>
      </c>
      <c r="K259" s="2">
        <v>293.61</v>
      </c>
      <c r="L259" s="2">
        <v>43.19</v>
      </c>
      <c r="M259" s="2">
        <v>679.79</v>
      </c>
      <c r="N259" s="2">
        <v>388.42</v>
      </c>
      <c r="O259" s="2">
        <v>291.37</v>
      </c>
      <c r="P259" s="2">
        <v>42.86</v>
      </c>
    </row>
    <row r="260" spans="1:16" x14ac:dyDescent="0.25">
      <c r="A260" t="s">
        <v>15</v>
      </c>
      <c r="B260" t="s">
        <v>379</v>
      </c>
      <c r="C260" t="s">
        <v>58</v>
      </c>
      <c r="D260" t="s">
        <v>437</v>
      </c>
      <c r="E260" t="s">
        <v>19</v>
      </c>
      <c r="F260" t="s">
        <v>64</v>
      </c>
      <c r="G260" s="1">
        <f>45700</f>
        <v>45700</v>
      </c>
      <c r="H260" t="s">
        <v>56</v>
      </c>
      <c r="I260" s="2">
        <v>781</v>
      </c>
      <c r="J260" s="2">
        <v>537.63</v>
      </c>
      <c r="K260" s="2">
        <v>243.37</v>
      </c>
      <c r="L260" s="2">
        <v>31.16</v>
      </c>
      <c r="M260" s="2">
        <v>781</v>
      </c>
      <c r="N260" s="2">
        <v>537.63</v>
      </c>
      <c r="O260" s="2">
        <v>184.37</v>
      </c>
      <c r="P260" s="2">
        <v>31.16</v>
      </c>
    </row>
    <row r="261" spans="1:16" x14ac:dyDescent="0.25">
      <c r="A261" t="s">
        <v>15</v>
      </c>
      <c r="B261" t="s">
        <v>379</v>
      </c>
      <c r="C261" t="s">
        <v>58</v>
      </c>
      <c r="D261" t="s">
        <v>438</v>
      </c>
      <c r="E261" t="s">
        <v>19</v>
      </c>
      <c r="F261" t="s">
        <v>439</v>
      </c>
      <c r="G261" s="1">
        <f>45700</f>
        <v>45700</v>
      </c>
      <c r="H261" t="s">
        <v>56</v>
      </c>
      <c r="I261" s="2">
        <v>1177.9000000000001</v>
      </c>
      <c r="J261" s="2">
        <v>840.03</v>
      </c>
      <c r="K261" s="2">
        <v>337.87</v>
      </c>
      <c r="L261" s="2">
        <v>28.68</v>
      </c>
      <c r="M261" s="2">
        <v>1177.9000000000001</v>
      </c>
      <c r="N261" s="2">
        <v>840.03</v>
      </c>
      <c r="O261" s="2">
        <v>297.87</v>
      </c>
      <c r="P261" s="2">
        <v>28.68</v>
      </c>
    </row>
    <row r="262" spans="1:16" x14ac:dyDescent="0.25">
      <c r="A262" t="s">
        <v>15</v>
      </c>
      <c r="B262" t="s">
        <v>379</v>
      </c>
      <c r="C262" t="s">
        <v>58</v>
      </c>
      <c r="D262" t="s">
        <v>440</v>
      </c>
      <c r="E262" t="s">
        <v>19</v>
      </c>
      <c r="F262" t="s">
        <v>408</v>
      </c>
      <c r="G262" s="1">
        <f>45700</f>
        <v>45700</v>
      </c>
      <c r="H262" t="s">
        <v>56</v>
      </c>
      <c r="I262" s="2">
        <v>492.36</v>
      </c>
      <c r="J262" s="2">
        <v>319.45999999999998</v>
      </c>
      <c r="K262" s="2">
        <v>172.9</v>
      </c>
      <c r="L262" s="2">
        <v>35.119999999999997</v>
      </c>
      <c r="M262" s="2">
        <v>492.36</v>
      </c>
      <c r="N262" s="2">
        <v>313.12</v>
      </c>
      <c r="O262" s="2">
        <v>170.24</v>
      </c>
      <c r="P262" s="2">
        <v>36.4</v>
      </c>
    </row>
    <row r="263" spans="1:16" x14ac:dyDescent="0.25">
      <c r="A263" t="s">
        <v>15</v>
      </c>
      <c r="B263" t="s">
        <v>379</v>
      </c>
      <c r="C263" t="s">
        <v>58</v>
      </c>
      <c r="D263" t="s">
        <v>441</v>
      </c>
      <c r="E263" t="s">
        <v>47</v>
      </c>
      <c r="F263" t="s">
        <v>105</v>
      </c>
      <c r="G263" s="1">
        <f>45700</f>
        <v>45700</v>
      </c>
      <c r="H263" t="s">
        <v>84</v>
      </c>
      <c r="I263" s="2">
        <v>0</v>
      </c>
      <c r="J263" s="2">
        <v>0</v>
      </c>
      <c r="K263" s="2">
        <v>0</v>
      </c>
      <c r="L263" s="2">
        <v>0</v>
      </c>
      <c r="M263" s="2">
        <v>1.92</v>
      </c>
      <c r="N263" s="2">
        <v>1.1299999999999999</v>
      </c>
      <c r="O263" s="2">
        <v>0.79</v>
      </c>
      <c r="P263" s="2">
        <v>41.15</v>
      </c>
    </row>
    <row r="264" spans="1:16" x14ac:dyDescent="0.25">
      <c r="A264" t="s">
        <v>15</v>
      </c>
      <c r="B264" t="s">
        <v>379</v>
      </c>
      <c r="C264" t="s">
        <v>58</v>
      </c>
      <c r="D264" t="s">
        <v>442</v>
      </c>
      <c r="E264" t="s">
        <v>19</v>
      </c>
      <c r="F264" t="s">
        <v>443</v>
      </c>
      <c r="G264" s="1">
        <f>45700</f>
        <v>45700</v>
      </c>
      <c r="H264" t="s">
        <v>56</v>
      </c>
      <c r="I264" s="2">
        <v>489.2</v>
      </c>
      <c r="J264" s="2">
        <v>344.8</v>
      </c>
      <c r="K264" s="2">
        <v>144.4</v>
      </c>
      <c r="L264" s="2">
        <v>29.52</v>
      </c>
      <c r="M264" s="2">
        <v>489.2</v>
      </c>
      <c r="N264" s="2">
        <v>344.8</v>
      </c>
      <c r="O264" s="2">
        <v>134.4</v>
      </c>
      <c r="P264" s="2">
        <v>29.52</v>
      </c>
    </row>
    <row r="265" spans="1:16" x14ac:dyDescent="0.25">
      <c r="A265" t="s">
        <v>15</v>
      </c>
      <c r="B265" t="s">
        <v>379</v>
      </c>
      <c r="C265" t="s">
        <v>58</v>
      </c>
      <c r="D265" t="s">
        <v>444</v>
      </c>
      <c r="E265" t="s">
        <v>19</v>
      </c>
      <c r="F265" t="s">
        <v>67</v>
      </c>
      <c r="G265" s="1">
        <f>45701</f>
        <v>45701</v>
      </c>
      <c r="H265" t="s">
        <v>56</v>
      </c>
      <c r="I265" s="2">
        <v>1611.6</v>
      </c>
      <c r="J265" s="2">
        <v>1129.19</v>
      </c>
      <c r="K265" s="2">
        <v>482.41</v>
      </c>
      <c r="L265" s="2">
        <v>29.93</v>
      </c>
      <c r="M265" s="2">
        <v>1611.6</v>
      </c>
      <c r="N265" s="2">
        <v>1129.19</v>
      </c>
      <c r="O265" s="2">
        <v>448.77</v>
      </c>
      <c r="P265" s="2">
        <v>29.93</v>
      </c>
    </row>
    <row r="266" spans="1:16" x14ac:dyDescent="0.25">
      <c r="A266" t="s">
        <v>15</v>
      </c>
      <c r="B266" t="s">
        <v>379</v>
      </c>
      <c r="C266" t="s">
        <v>58</v>
      </c>
      <c r="D266" t="s">
        <v>445</v>
      </c>
      <c r="E266" t="s">
        <v>47</v>
      </c>
      <c r="F266" t="s">
        <v>139</v>
      </c>
      <c r="G266" s="1">
        <f>45701</f>
        <v>45701</v>
      </c>
      <c r="H266" t="s">
        <v>70</v>
      </c>
      <c r="I266" s="2">
        <v>0</v>
      </c>
      <c r="J266" s="2">
        <v>0</v>
      </c>
      <c r="K266" s="2">
        <v>0</v>
      </c>
      <c r="L266" s="2">
        <v>0</v>
      </c>
      <c r="M266" s="2">
        <v>229.64</v>
      </c>
      <c r="N266" s="2">
        <v>143.52000000000001</v>
      </c>
      <c r="O266" s="2">
        <v>86.12</v>
      </c>
      <c r="P266" s="2">
        <v>37.5</v>
      </c>
    </row>
    <row r="267" spans="1:16" x14ac:dyDescent="0.25">
      <c r="A267" t="s">
        <v>15</v>
      </c>
      <c r="B267" t="s">
        <v>379</v>
      </c>
      <c r="C267" t="s">
        <v>58</v>
      </c>
      <c r="D267" t="s">
        <v>446</v>
      </c>
      <c r="E267" t="s">
        <v>47</v>
      </c>
      <c r="F267" t="s">
        <v>414</v>
      </c>
      <c r="G267" s="1">
        <f>45701</f>
        <v>45701</v>
      </c>
      <c r="H267" t="s">
        <v>84</v>
      </c>
      <c r="I267" s="2">
        <v>0</v>
      </c>
      <c r="J267" s="2">
        <v>0</v>
      </c>
      <c r="K267" s="2">
        <v>0</v>
      </c>
      <c r="L267" s="2">
        <v>0</v>
      </c>
      <c r="M267" s="2">
        <v>1.93</v>
      </c>
      <c r="N267" s="2">
        <v>1.1399999999999999</v>
      </c>
      <c r="O267" s="2">
        <v>0.79</v>
      </c>
      <c r="P267" s="2">
        <v>40.93</v>
      </c>
    </row>
    <row r="268" spans="1:16" x14ac:dyDescent="0.25">
      <c r="A268" t="s">
        <v>15</v>
      </c>
      <c r="B268" t="s">
        <v>379</v>
      </c>
      <c r="C268" t="s">
        <v>58</v>
      </c>
      <c r="D268" t="s">
        <v>447</v>
      </c>
      <c r="E268" t="s">
        <v>47</v>
      </c>
      <c r="F268" t="s">
        <v>75</v>
      </c>
      <c r="G268" s="1">
        <f>45702</f>
        <v>45702</v>
      </c>
      <c r="H268" t="s">
        <v>84</v>
      </c>
      <c r="I268" s="2">
        <v>0</v>
      </c>
      <c r="J268" s="2">
        <v>0</v>
      </c>
      <c r="K268" s="2">
        <v>0</v>
      </c>
      <c r="L268" s="2">
        <v>0</v>
      </c>
      <c r="M268" s="2">
        <v>107.6</v>
      </c>
      <c r="N268" s="2">
        <v>63.3</v>
      </c>
      <c r="O268" s="2">
        <v>44.3</v>
      </c>
      <c r="P268" s="2">
        <v>41.17</v>
      </c>
    </row>
    <row r="269" spans="1:16" x14ac:dyDescent="0.25">
      <c r="A269" t="s">
        <v>15</v>
      </c>
      <c r="B269" t="s">
        <v>379</v>
      </c>
      <c r="C269" t="s">
        <v>58</v>
      </c>
      <c r="D269" t="s">
        <v>448</v>
      </c>
      <c r="E269" t="s">
        <v>47</v>
      </c>
      <c r="F269" t="s">
        <v>134</v>
      </c>
      <c r="G269" s="1">
        <f>45702</f>
        <v>45702</v>
      </c>
      <c r="H269" t="s">
        <v>70</v>
      </c>
      <c r="I269" s="2">
        <v>0</v>
      </c>
      <c r="J269" s="2">
        <v>0</v>
      </c>
      <c r="K269" s="2">
        <v>0</v>
      </c>
      <c r="L269" s="2">
        <v>0</v>
      </c>
      <c r="M269" s="2">
        <v>2.25</v>
      </c>
      <c r="N269" s="2">
        <v>1.39</v>
      </c>
      <c r="O269" s="2">
        <v>0.86</v>
      </c>
      <c r="P269" s="2">
        <v>38.22</v>
      </c>
    </row>
    <row r="270" spans="1:16" x14ac:dyDescent="0.25">
      <c r="A270" t="s">
        <v>15</v>
      </c>
      <c r="B270" t="s">
        <v>379</v>
      </c>
      <c r="C270" t="s">
        <v>58</v>
      </c>
      <c r="D270" t="s">
        <v>449</v>
      </c>
      <c r="E270" t="s">
        <v>19</v>
      </c>
      <c r="F270" t="s">
        <v>450</v>
      </c>
      <c r="G270" s="1">
        <f>45705</f>
        <v>45705</v>
      </c>
      <c r="H270" t="s">
        <v>56</v>
      </c>
      <c r="I270" s="2">
        <v>2108.5</v>
      </c>
      <c r="J270" s="2">
        <v>1446.08</v>
      </c>
      <c r="K270" s="2">
        <v>662.42</v>
      </c>
      <c r="L270" s="2">
        <v>31.42</v>
      </c>
      <c r="M270" s="2">
        <v>2108.5</v>
      </c>
      <c r="N270" s="2">
        <v>1432.77</v>
      </c>
      <c r="O270" s="2">
        <v>546.73</v>
      </c>
      <c r="P270" s="2">
        <v>32.049999999999997</v>
      </c>
    </row>
    <row r="271" spans="1:16" x14ac:dyDescent="0.25">
      <c r="A271" t="s">
        <v>15</v>
      </c>
      <c r="B271" t="s">
        <v>379</v>
      </c>
      <c r="C271" t="s">
        <v>58</v>
      </c>
      <c r="D271" t="s">
        <v>451</v>
      </c>
      <c r="E271" t="s">
        <v>19</v>
      </c>
      <c r="F271" t="s">
        <v>131</v>
      </c>
      <c r="G271" s="1">
        <f>45705</f>
        <v>45705</v>
      </c>
      <c r="H271" t="s">
        <v>56</v>
      </c>
      <c r="I271" s="2">
        <v>961.05</v>
      </c>
      <c r="J271" s="2">
        <v>387</v>
      </c>
      <c r="K271" s="2">
        <v>574.04999999999995</v>
      </c>
      <c r="L271" s="2">
        <v>59.73</v>
      </c>
      <c r="M271" s="2">
        <v>961.05</v>
      </c>
      <c r="N271" s="2">
        <v>387</v>
      </c>
      <c r="O271" s="2">
        <v>558.04999999999995</v>
      </c>
      <c r="P271" s="2">
        <v>59.73</v>
      </c>
    </row>
    <row r="272" spans="1:16" x14ac:dyDescent="0.25">
      <c r="A272" t="s">
        <v>15</v>
      </c>
      <c r="B272" t="s">
        <v>379</v>
      </c>
      <c r="C272" t="s">
        <v>58</v>
      </c>
      <c r="D272" t="s">
        <v>452</v>
      </c>
      <c r="E272" t="s">
        <v>47</v>
      </c>
      <c r="F272" t="s">
        <v>73</v>
      </c>
      <c r="G272" s="1">
        <f>45705</f>
        <v>45705</v>
      </c>
      <c r="H272" t="s">
        <v>70</v>
      </c>
      <c r="I272" s="2">
        <v>0</v>
      </c>
      <c r="J272" s="2">
        <v>0</v>
      </c>
      <c r="K272" s="2">
        <v>0</v>
      </c>
      <c r="L272" s="2">
        <v>0</v>
      </c>
      <c r="M272" s="2">
        <v>44</v>
      </c>
      <c r="N272" s="2">
        <v>27.5</v>
      </c>
      <c r="O272" s="2">
        <v>16.5</v>
      </c>
      <c r="P272" s="2">
        <v>37.5</v>
      </c>
    </row>
    <row r="273" spans="1:16" x14ac:dyDescent="0.25">
      <c r="A273" t="s">
        <v>15</v>
      </c>
      <c r="B273" t="s">
        <v>379</v>
      </c>
      <c r="C273" t="s">
        <v>58</v>
      </c>
      <c r="D273" t="s">
        <v>453</v>
      </c>
      <c r="E273" t="s">
        <v>47</v>
      </c>
      <c r="F273" t="s">
        <v>75</v>
      </c>
      <c r="G273" s="1">
        <f>45705</f>
        <v>45705</v>
      </c>
      <c r="H273" t="s">
        <v>70</v>
      </c>
      <c r="I273" s="2">
        <v>0</v>
      </c>
      <c r="J273" s="2">
        <v>0</v>
      </c>
      <c r="K273" s="2">
        <v>0</v>
      </c>
      <c r="L273" s="2">
        <v>0</v>
      </c>
      <c r="M273" s="2">
        <v>73.849999999999994</v>
      </c>
      <c r="N273" s="2">
        <v>46.15</v>
      </c>
      <c r="O273" s="2">
        <v>27.7</v>
      </c>
      <c r="P273" s="2">
        <v>37.51</v>
      </c>
    </row>
    <row r="274" spans="1:16" x14ac:dyDescent="0.25">
      <c r="A274" t="s">
        <v>15</v>
      </c>
      <c r="B274" t="s">
        <v>379</v>
      </c>
      <c r="C274" t="s">
        <v>58</v>
      </c>
      <c r="D274" t="s">
        <v>454</v>
      </c>
      <c r="E274" t="s">
        <v>47</v>
      </c>
      <c r="F274" t="s">
        <v>455</v>
      </c>
      <c r="G274" s="1">
        <f>45705</f>
        <v>45705</v>
      </c>
      <c r="H274" t="s">
        <v>70</v>
      </c>
      <c r="I274" s="2">
        <v>0</v>
      </c>
      <c r="J274" s="2">
        <v>0</v>
      </c>
      <c r="K274" s="2">
        <v>0</v>
      </c>
      <c r="L274" s="2">
        <v>0</v>
      </c>
      <c r="M274" s="2">
        <v>6.96</v>
      </c>
      <c r="N274" s="2">
        <v>4.3600000000000003</v>
      </c>
      <c r="O274" s="2">
        <v>2.6</v>
      </c>
      <c r="P274" s="2">
        <v>37.36</v>
      </c>
    </row>
    <row r="275" spans="1:16" x14ac:dyDescent="0.25">
      <c r="A275" t="s">
        <v>15</v>
      </c>
      <c r="B275" t="s">
        <v>379</v>
      </c>
      <c r="C275" t="s">
        <v>58</v>
      </c>
      <c r="D275" t="s">
        <v>456</v>
      </c>
      <c r="E275" t="s">
        <v>47</v>
      </c>
      <c r="F275" t="s">
        <v>457</v>
      </c>
      <c r="G275" s="1">
        <f>45705</f>
        <v>45705</v>
      </c>
      <c r="H275" t="s">
        <v>84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7.27</v>
      </c>
      <c r="O275" s="2">
        <v>-7.27</v>
      </c>
      <c r="P275" s="2">
        <v>0</v>
      </c>
    </row>
    <row r="276" spans="1:16" x14ac:dyDescent="0.25">
      <c r="A276" t="s">
        <v>15</v>
      </c>
      <c r="B276" t="s">
        <v>379</v>
      </c>
      <c r="C276" t="s">
        <v>58</v>
      </c>
      <c r="D276" t="s">
        <v>458</v>
      </c>
      <c r="E276" t="s">
        <v>19</v>
      </c>
      <c r="F276" t="s">
        <v>64</v>
      </c>
      <c r="G276" s="1">
        <f>45706</f>
        <v>45706</v>
      </c>
      <c r="H276" t="s">
        <v>56</v>
      </c>
      <c r="I276" s="2">
        <v>146.80000000000001</v>
      </c>
      <c r="J276" s="2">
        <v>98.08</v>
      </c>
      <c r="K276" s="2">
        <v>48.72</v>
      </c>
      <c r="L276" s="2">
        <v>33.19</v>
      </c>
      <c r="M276" s="2">
        <v>146.80000000000001</v>
      </c>
      <c r="N276" s="2">
        <v>98.08</v>
      </c>
      <c r="O276" s="2">
        <v>38.72</v>
      </c>
      <c r="P276" s="2">
        <v>33.19</v>
      </c>
    </row>
    <row r="277" spans="1:16" x14ac:dyDescent="0.25">
      <c r="A277" t="s">
        <v>15</v>
      </c>
      <c r="B277" t="s">
        <v>379</v>
      </c>
      <c r="C277" t="s">
        <v>58</v>
      </c>
      <c r="D277" t="s">
        <v>459</v>
      </c>
      <c r="E277" t="s">
        <v>47</v>
      </c>
      <c r="F277" t="s">
        <v>141</v>
      </c>
      <c r="G277" s="1">
        <f>45706</f>
        <v>45706</v>
      </c>
      <c r="H277" t="s">
        <v>70</v>
      </c>
      <c r="I277" s="2">
        <v>0</v>
      </c>
      <c r="J277" s="2">
        <v>0</v>
      </c>
      <c r="K277" s="2">
        <v>0</v>
      </c>
      <c r="L277" s="2">
        <v>0</v>
      </c>
      <c r="M277" s="2">
        <v>131.86000000000001</v>
      </c>
      <c r="N277" s="2">
        <v>82.41</v>
      </c>
      <c r="O277" s="2">
        <v>49.45</v>
      </c>
      <c r="P277" s="2">
        <v>37.5</v>
      </c>
    </row>
    <row r="278" spans="1:16" x14ac:dyDescent="0.25">
      <c r="A278" t="s">
        <v>15</v>
      </c>
      <c r="B278" t="s">
        <v>379</v>
      </c>
      <c r="C278" t="s">
        <v>58</v>
      </c>
      <c r="D278" t="s">
        <v>460</v>
      </c>
      <c r="E278" t="s">
        <v>47</v>
      </c>
      <c r="F278" t="s">
        <v>97</v>
      </c>
      <c r="G278" s="1">
        <f>45706</f>
        <v>45706</v>
      </c>
      <c r="H278" t="s">
        <v>70</v>
      </c>
      <c r="I278" s="2">
        <v>0</v>
      </c>
      <c r="J278" s="2">
        <v>0</v>
      </c>
      <c r="K278" s="2">
        <v>0</v>
      </c>
      <c r="L278" s="2">
        <v>0</v>
      </c>
      <c r="M278" s="2">
        <v>267.49</v>
      </c>
      <c r="N278" s="2">
        <v>167.2</v>
      </c>
      <c r="O278" s="2">
        <v>100.29</v>
      </c>
      <c r="P278" s="2">
        <v>37.49</v>
      </c>
    </row>
    <row r="279" spans="1:16" x14ac:dyDescent="0.25">
      <c r="A279" t="s">
        <v>15</v>
      </c>
      <c r="B279" t="s">
        <v>379</v>
      </c>
      <c r="C279" t="s">
        <v>58</v>
      </c>
      <c r="D279" t="s">
        <v>461</v>
      </c>
      <c r="E279" t="s">
        <v>47</v>
      </c>
      <c r="F279" t="s">
        <v>141</v>
      </c>
      <c r="G279" s="1">
        <f>45707</f>
        <v>45707</v>
      </c>
      <c r="H279" t="s">
        <v>70</v>
      </c>
      <c r="I279" s="2">
        <v>0</v>
      </c>
      <c r="J279" s="2">
        <v>0</v>
      </c>
      <c r="K279" s="2">
        <v>0</v>
      </c>
      <c r="L279" s="2">
        <v>0</v>
      </c>
      <c r="M279" s="2">
        <v>18.510000000000002</v>
      </c>
      <c r="N279" s="2">
        <v>11.57</v>
      </c>
      <c r="O279" s="2">
        <v>6.94</v>
      </c>
      <c r="P279" s="2">
        <v>37.49</v>
      </c>
    </row>
    <row r="280" spans="1:16" x14ac:dyDescent="0.25">
      <c r="A280" t="s">
        <v>15</v>
      </c>
      <c r="B280" t="s">
        <v>379</v>
      </c>
      <c r="C280" t="s">
        <v>58</v>
      </c>
      <c r="D280" t="s">
        <v>462</v>
      </c>
      <c r="E280" t="s">
        <v>19</v>
      </c>
      <c r="F280" t="s">
        <v>463</v>
      </c>
      <c r="G280" s="1">
        <f>45707</f>
        <v>45707</v>
      </c>
      <c r="H280" t="s">
        <v>56</v>
      </c>
      <c r="I280" s="2">
        <v>2243</v>
      </c>
      <c r="J280" s="2">
        <v>1495.01</v>
      </c>
      <c r="K280" s="2">
        <v>747.99</v>
      </c>
      <c r="L280" s="2">
        <v>33.35</v>
      </c>
      <c r="M280" s="2">
        <v>2243</v>
      </c>
      <c r="N280" s="2">
        <v>1495.01</v>
      </c>
      <c r="O280" s="2">
        <v>710.99</v>
      </c>
      <c r="P280" s="2">
        <v>33.35</v>
      </c>
    </row>
    <row r="281" spans="1:16" x14ac:dyDescent="0.25">
      <c r="A281" t="s">
        <v>15</v>
      </c>
      <c r="B281" t="s">
        <v>379</v>
      </c>
      <c r="C281" t="s">
        <v>58</v>
      </c>
      <c r="D281" t="s">
        <v>464</v>
      </c>
      <c r="E281" t="s">
        <v>19</v>
      </c>
      <c r="F281" t="s">
        <v>465</v>
      </c>
      <c r="G281" s="1">
        <f>45707</f>
        <v>45707</v>
      </c>
      <c r="H281" t="s">
        <v>56</v>
      </c>
      <c r="I281" s="2">
        <v>5754.25</v>
      </c>
      <c r="J281" s="2">
        <v>3850.5</v>
      </c>
      <c r="K281" s="2">
        <v>1903.75</v>
      </c>
      <c r="L281" s="2">
        <v>33.08</v>
      </c>
      <c r="M281" s="2">
        <v>5754.25</v>
      </c>
      <c r="N281" s="2">
        <v>3796.09</v>
      </c>
      <c r="O281" s="2">
        <v>1869.16</v>
      </c>
      <c r="P281" s="2">
        <v>34.03</v>
      </c>
    </row>
    <row r="282" spans="1:16" x14ac:dyDescent="0.25">
      <c r="A282" t="s">
        <v>15</v>
      </c>
      <c r="B282" t="s">
        <v>379</v>
      </c>
      <c r="C282" t="s">
        <v>58</v>
      </c>
      <c r="D282" t="s">
        <v>466</v>
      </c>
      <c r="E282" t="s">
        <v>19</v>
      </c>
      <c r="F282" t="s">
        <v>64</v>
      </c>
      <c r="G282" s="1">
        <f>45707</f>
        <v>45707</v>
      </c>
      <c r="H282" t="s">
        <v>56</v>
      </c>
      <c r="I282" s="2">
        <v>185.84</v>
      </c>
      <c r="J282" s="2">
        <v>108.87</v>
      </c>
      <c r="K282" s="2">
        <v>76.97</v>
      </c>
      <c r="L282" s="2">
        <v>41.42</v>
      </c>
      <c r="M282" s="2">
        <v>185.84</v>
      </c>
      <c r="N282" s="2">
        <v>108.87</v>
      </c>
      <c r="O282" s="2">
        <v>59.47</v>
      </c>
      <c r="P282" s="2">
        <v>41.42</v>
      </c>
    </row>
    <row r="283" spans="1:16" x14ac:dyDescent="0.25">
      <c r="A283" t="s">
        <v>15</v>
      </c>
      <c r="B283" t="s">
        <v>379</v>
      </c>
      <c r="C283" t="s">
        <v>58</v>
      </c>
      <c r="D283" t="s">
        <v>467</v>
      </c>
      <c r="E283" t="s">
        <v>19</v>
      </c>
      <c r="F283" t="s">
        <v>64</v>
      </c>
      <c r="G283" s="1">
        <f>45707</f>
        <v>45707</v>
      </c>
      <c r="H283" t="s">
        <v>56</v>
      </c>
      <c r="I283" s="2">
        <v>780.2</v>
      </c>
      <c r="J283" s="2">
        <v>530.54</v>
      </c>
      <c r="K283" s="2">
        <v>249.66</v>
      </c>
      <c r="L283" s="2">
        <v>32</v>
      </c>
      <c r="M283" s="2">
        <v>780.2</v>
      </c>
      <c r="N283" s="2">
        <v>530.54</v>
      </c>
      <c r="O283" s="2">
        <v>249.66</v>
      </c>
      <c r="P283" s="2">
        <v>32</v>
      </c>
    </row>
    <row r="284" spans="1:16" x14ac:dyDescent="0.25">
      <c r="A284" t="s">
        <v>15</v>
      </c>
      <c r="B284" t="s">
        <v>379</v>
      </c>
      <c r="C284" t="s">
        <v>58</v>
      </c>
      <c r="D284" t="s">
        <v>468</v>
      </c>
      <c r="E284" t="s">
        <v>19</v>
      </c>
      <c r="F284" t="s">
        <v>64</v>
      </c>
      <c r="G284" s="1">
        <f>45708</f>
        <v>45708</v>
      </c>
      <c r="H284" t="s">
        <v>56</v>
      </c>
      <c r="I284" s="2">
        <v>722.8</v>
      </c>
      <c r="J284" s="2">
        <v>508.5</v>
      </c>
      <c r="K284" s="2">
        <v>214.3</v>
      </c>
      <c r="L284" s="2">
        <v>29.65</v>
      </c>
      <c r="M284" s="2">
        <v>722.8</v>
      </c>
      <c r="N284" s="2">
        <v>508.5</v>
      </c>
      <c r="O284" s="2">
        <v>167.3</v>
      </c>
      <c r="P284" s="2">
        <v>29.65</v>
      </c>
    </row>
    <row r="285" spans="1:16" x14ac:dyDescent="0.25">
      <c r="A285" t="s">
        <v>15</v>
      </c>
      <c r="B285" t="s">
        <v>379</v>
      </c>
      <c r="C285" t="s">
        <v>58</v>
      </c>
      <c r="D285" t="s">
        <v>469</v>
      </c>
      <c r="E285" t="s">
        <v>19</v>
      </c>
      <c r="F285" t="s">
        <v>465</v>
      </c>
      <c r="G285" s="1">
        <f>45708</f>
        <v>45708</v>
      </c>
      <c r="H285" t="s">
        <v>56</v>
      </c>
      <c r="I285" s="2">
        <v>19000</v>
      </c>
      <c r="J285" s="2">
        <v>12834.65</v>
      </c>
      <c r="K285" s="2">
        <v>6165.35</v>
      </c>
      <c r="L285" s="2">
        <v>32.450000000000003</v>
      </c>
      <c r="M285" s="2">
        <v>19000</v>
      </c>
      <c r="N285" s="2">
        <v>12834.65</v>
      </c>
      <c r="O285" s="2">
        <v>6165.35</v>
      </c>
      <c r="P285" s="2">
        <v>32.450000000000003</v>
      </c>
    </row>
    <row r="286" spans="1:16" x14ac:dyDescent="0.25">
      <c r="A286" t="s">
        <v>15</v>
      </c>
      <c r="B286" t="s">
        <v>379</v>
      </c>
      <c r="C286" t="s">
        <v>58</v>
      </c>
      <c r="D286" t="s">
        <v>470</v>
      </c>
      <c r="E286" t="s">
        <v>19</v>
      </c>
      <c r="F286" t="s">
        <v>443</v>
      </c>
      <c r="G286" s="1">
        <f>45708</f>
        <v>45708</v>
      </c>
      <c r="H286" t="s">
        <v>56</v>
      </c>
      <c r="I286" s="2">
        <v>215.9</v>
      </c>
      <c r="J286" s="2">
        <v>140.46</v>
      </c>
      <c r="K286" s="2">
        <v>75.44</v>
      </c>
      <c r="L286" s="2">
        <v>34.94</v>
      </c>
      <c r="M286" s="2">
        <v>215.9</v>
      </c>
      <c r="N286" s="2">
        <v>140.46</v>
      </c>
      <c r="O286" s="2">
        <v>65.44</v>
      </c>
      <c r="P286" s="2">
        <v>34.94</v>
      </c>
    </row>
    <row r="287" spans="1:16" x14ac:dyDescent="0.25">
      <c r="A287" t="s">
        <v>15</v>
      </c>
      <c r="B287" t="s">
        <v>379</v>
      </c>
      <c r="C287" t="s">
        <v>58</v>
      </c>
      <c r="D287" t="s">
        <v>471</v>
      </c>
      <c r="E287" t="s">
        <v>47</v>
      </c>
      <c r="F287" t="s">
        <v>75</v>
      </c>
      <c r="G287" s="1">
        <f>45712</f>
        <v>45712</v>
      </c>
      <c r="H287" t="s">
        <v>70</v>
      </c>
      <c r="I287" s="2">
        <v>0</v>
      </c>
      <c r="J287" s="2">
        <v>0</v>
      </c>
      <c r="K287" s="2">
        <v>0</v>
      </c>
      <c r="L287" s="2">
        <v>0</v>
      </c>
      <c r="M287" s="2">
        <v>283.22000000000003</v>
      </c>
      <c r="N287" s="2">
        <v>173.64</v>
      </c>
      <c r="O287" s="2">
        <v>109.58</v>
      </c>
      <c r="P287" s="2">
        <v>38.69</v>
      </c>
    </row>
    <row r="288" spans="1:16" x14ac:dyDescent="0.25">
      <c r="A288" t="s">
        <v>15</v>
      </c>
      <c r="B288" t="s">
        <v>379</v>
      </c>
      <c r="C288" t="s">
        <v>58</v>
      </c>
      <c r="D288" t="s">
        <v>472</v>
      </c>
      <c r="E288" t="s">
        <v>47</v>
      </c>
      <c r="F288" t="s">
        <v>97</v>
      </c>
      <c r="G288" s="1">
        <f>45713</f>
        <v>45713</v>
      </c>
      <c r="H288" t="s">
        <v>70</v>
      </c>
      <c r="I288" s="2">
        <v>0</v>
      </c>
      <c r="J288" s="2">
        <v>0</v>
      </c>
      <c r="K288" s="2">
        <v>0</v>
      </c>
      <c r="L288" s="2">
        <v>0</v>
      </c>
      <c r="M288" s="2">
        <v>122.42</v>
      </c>
      <c r="N288" s="2">
        <v>46.81</v>
      </c>
      <c r="O288" s="2">
        <v>75.61</v>
      </c>
      <c r="P288" s="2">
        <v>61.76</v>
      </c>
    </row>
    <row r="289" spans="1:16" x14ac:dyDescent="0.25">
      <c r="A289" t="s">
        <v>15</v>
      </c>
      <c r="B289" t="s">
        <v>379</v>
      </c>
      <c r="C289" t="s">
        <v>58</v>
      </c>
      <c r="D289" t="s">
        <v>473</v>
      </c>
      <c r="E289" t="s">
        <v>19</v>
      </c>
      <c r="F289" t="s">
        <v>463</v>
      </c>
      <c r="G289" s="1">
        <f>45713</f>
        <v>45713</v>
      </c>
      <c r="H289" t="s">
        <v>56</v>
      </c>
      <c r="I289" s="2">
        <v>205.4</v>
      </c>
      <c r="J289" s="2">
        <v>100.57</v>
      </c>
      <c r="K289" s="2">
        <v>104.83</v>
      </c>
      <c r="L289" s="2">
        <v>51.04</v>
      </c>
      <c r="M289" s="2">
        <v>205.4</v>
      </c>
      <c r="N289" s="2">
        <v>100.57</v>
      </c>
      <c r="O289" s="2">
        <v>89.67</v>
      </c>
      <c r="P289" s="2">
        <v>51.04</v>
      </c>
    </row>
    <row r="290" spans="1:16" x14ac:dyDescent="0.25">
      <c r="A290" t="s">
        <v>15</v>
      </c>
      <c r="B290" t="s">
        <v>379</v>
      </c>
      <c r="C290" t="s">
        <v>58</v>
      </c>
      <c r="D290" t="s">
        <v>474</v>
      </c>
      <c r="E290" t="s">
        <v>19</v>
      </c>
      <c r="F290" t="s">
        <v>129</v>
      </c>
      <c r="G290" s="1">
        <f>45715</f>
        <v>45715</v>
      </c>
      <c r="H290" t="s">
        <v>56</v>
      </c>
      <c r="I290" s="2">
        <v>3093.1</v>
      </c>
      <c r="J290" s="2">
        <v>2193.5</v>
      </c>
      <c r="K290" s="2">
        <v>899.6</v>
      </c>
      <c r="L290" s="2">
        <v>29.08</v>
      </c>
      <c r="M290" s="2">
        <v>3093.1</v>
      </c>
      <c r="N290" s="2">
        <v>2193.5</v>
      </c>
      <c r="O290" s="2">
        <v>858.6</v>
      </c>
      <c r="P290" s="2">
        <v>29.08</v>
      </c>
    </row>
    <row r="291" spans="1:16" x14ac:dyDescent="0.25">
      <c r="A291" t="s">
        <v>15</v>
      </c>
      <c r="B291" t="s">
        <v>379</v>
      </c>
      <c r="C291" t="s">
        <v>58</v>
      </c>
      <c r="D291" t="s">
        <v>475</v>
      </c>
      <c r="E291" t="s">
        <v>19</v>
      </c>
      <c r="F291" t="s">
        <v>476</v>
      </c>
      <c r="G291" s="1">
        <f>45715</f>
        <v>45715</v>
      </c>
      <c r="H291" t="s">
        <v>56</v>
      </c>
      <c r="I291" s="2">
        <v>800</v>
      </c>
      <c r="J291" s="2">
        <v>459.82</v>
      </c>
      <c r="K291" s="2">
        <v>340.18</v>
      </c>
      <c r="L291" s="2">
        <v>42.52</v>
      </c>
      <c r="M291" s="2">
        <v>800</v>
      </c>
      <c r="N291" s="2">
        <v>459.82</v>
      </c>
      <c r="O291" s="2">
        <v>340.18</v>
      </c>
      <c r="P291" s="2">
        <v>42.52</v>
      </c>
    </row>
    <row r="292" spans="1:16" x14ac:dyDescent="0.25">
      <c r="A292" t="s">
        <v>15</v>
      </c>
      <c r="B292" t="s">
        <v>379</v>
      </c>
      <c r="C292" t="s">
        <v>58</v>
      </c>
      <c r="D292" t="s">
        <v>477</v>
      </c>
      <c r="E292" t="s">
        <v>47</v>
      </c>
      <c r="F292" t="s">
        <v>478</v>
      </c>
      <c r="G292" s="1">
        <f>45715</f>
        <v>45715</v>
      </c>
      <c r="H292" t="s">
        <v>70</v>
      </c>
      <c r="I292" s="2">
        <v>0</v>
      </c>
      <c r="J292" s="2">
        <v>0</v>
      </c>
      <c r="K292" s="2">
        <v>0</v>
      </c>
      <c r="L292" s="2">
        <v>0</v>
      </c>
      <c r="M292" s="2">
        <v>15</v>
      </c>
      <c r="N292" s="2">
        <v>9.8000000000000007</v>
      </c>
      <c r="O292" s="2">
        <v>5.2</v>
      </c>
      <c r="P292" s="2">
        <v>34.67</v>
      </c>
    </row>
    <row r="293" spans="1:16" x14ac:dyDescent="0.25">
      <c r="A293" t="s">
        <v>15</v>
      </c>
      <c r="B293" t="s">
        <v>379</v>
      </c>
      <c r="C293" t="s">
        <v>58</v>
      </c>
      <c r="D293" t="s">
        <v>479</v>
      </c>
      <c r="E293" t="s">
        <v>19</v>
      </c>
      <c r="F293" t="s">
        <v>480</v>
      </c>
      <c r="G293" s="1">
        <f>45715</f>
        <v>45715</v>
      </c>
      <c r="H293" t="s">
        <v>56</v>
      </c>
      <c r="I293" s="2">
        <v>394.6</v>
      </c>
      <c r="J293" s="2">
        <v>264.22000000000003</v>
      </c>
      <c r="K293" s="2">
        <v>130.38</v>
      </c>
      <c r="L293" s="2">
        <v>33.04</v>
      </c>
      <c r="M293" s="2">
        <v>394.6</v>
      </c>
      <c r="N293" s="2">
        <v>264.22000000000003</v>
      </c>
      <c r="O293" s="2">
        <v>81.38</v>
      </c>
      <c r="P293" s="2">
        <v>33.04</v>
      </c>
    </row>
    <row r="294" spans="1:16" x14ac:dyDescent="0.25">
      <c r="A294" t="s">
        <v>15</v>
      </c>
      <c r="B294" t="s">
        <v>379</v>
      </c>
      <c r="C294" t="s">
        <v>58</v>
      </c>
      <c r="D294" t="s">
        <v>481</v>
      </c>
      <c r="E294" t="s">
        <v>47</v>
      </c>
      <c r="F294" t="s">
        <v>75</v>
      </c>
      <c r="G294" s="1">
        <f>45715</f>
        <v>45715</v>
      </c>
      <c r="H294" t="s">
        <v>84</v>
      </c>
      <c r="I294" s="2">
        <v>0</v>
      </c>
      <c r="J294" s="2">
        <v>0</v>
      </c>
      <c r="K294" s="2">
        <v>0</v>
      </c>
      <c r="L294" s="2">
        <v>0</v>
      </c>
      <c r="M294" s="2">
        <v>17.47</v>
      </c>
      <c r="N294" s="2">
        <v>10.29</v>
      </c>
      <c r="O294" s="2">
        <v>7.18</v>
      </c>
      <c r="P294" s="2">
        <v>41.1</v>
      </c>
    </row>
    <row r="295" spans="1:16" x14ac:dyDescent="0.25">
      <c r="A295" t="s">
        <v>15</v>
      </c>
      <c r="B295" t="s">
        <v>379</v>
      </c>
      <c r="C295" t="s">
        <v>58</v>
      </c>
      <c r="D295" t="s">
        <v>482</v>
      </c>
      <c r="E295" t="s">
        <v>47</v>
      </c>
      <c r="F295" t="s">
        <v>483</v>
      </c>
      <c r="G295" s="1">
        <f>45716</f>
        <v>45716</v>
      </c>
      <c r="H295" t="s">
        <v>70</v>
      </c>
      <c r="I295" s="2">
        <v>0</v>
      </c>
      <c r="J295" s="2">
        <v>0</v>
      </c>
      <c r="K295" s="2">
        <v>0</v>
      </c>
      <c r="L295" s="2">
        <v>0</v>
      </c>
      <c r="M295" s="2">
        <v>19.16</v>
      </c>
      <c r="N295" s="2">
        <v>11.98</v>
      </c>
      <c r="O295" s="2">
        <v>7.18</v>
      </c>
      <c r="P295" s="2">
        <v>37.47</v>
      </c>
    </row>
    <row r="296" spans="1:16" x14ac:dyDescent="0.25">
      <c r="A296" t="s">
        <v>15</v>
      </c>
      <c r="B296" t="s">
        <v>379</v>
      </c>
      <c r="C296" t="s">
        <v>17</v>
      </c>
      <c r="D296" t="s">
        <v>484</v>
      </c>
      <c r="E296" t="s">
        <v>19</v>
      </c>
      <c r="F296" t="s">
        <v>50</v>
      </c>
      <c r="G296" s="1">
        <f>45691</f>
        <v>45691</v>
      </c>
      <c r="H296" t="s">
        <v>51</v>
      </c>
      <c r="I296" s="2">
        <v>152.25</v>
      </c>
      <c r="J296" s="2">
        <v>106.01</v>
      </c>
      <c r="K296" s="2">
        <v>46.24</v>
      </c>
      <c r="L296" s="2">
        <v>30.37</v>
      </c>
      <c r="M296" s="2">
        <v>152.25</v>
      </c>
      <c r="N296" s="2">
        <v>107.61</v>
      </c>
      <c r="O296" s="2">
        <v>42.56</v>
      </c>
      <c r="P296" s="2">
        <v>29.32</v>
      </c>
    </row>
    <row r="297" spans="1:16" x14ac:dyDescent="0.25">
      <c r="A297" t="s">
        <v>15</v>
      </c>
      <c r="B297" t="s">
        <v>379</v>
      </c>
      <c r="C297" t="s">
        <v>17</v>
      </c>
      <c r="D297" t="s">
        <v>485</v>
      </c>
      <c r="E297" t="s">
        <v>19</v>
      </c>
      <c r="F297" t="s">
        <v>176</v>
      </c>
      <c r="G297" s="1">
        <f>45691</f>
        <v>45691</v>
      </c>
      <c r="H297" t="s">
        <v>51</v>
      </c>
      <c r="I297" s="2">
        <v>1184.4000000000001</v>
      </c>
      <c r="J297" s="2">
        <v>794.98</v>
      </c>
      <c r="K297" s="2">
        <v>389.42</v>
      </c>
      <c r="L297" s="2">
        <v>32.880000000000003</v>
      </c>
      <c r="M297" s="2">
        <v>1184.4000000000001</v>
      </c>
      <c r="N297" s="2">
        <v>794.97</v>
      </c>
      <c r="O297" s="2">
        <v>357.54</v>
      </c>
      <c r="P297" s="2">
        <v>32.880000000000003</v>
      </c>
    </row>
    <row r="298" spans="1:16" x14ac:dyDescent="0.25">
      <c r="A298" t="s">
        <v>15</v>
      </c>
      <c r="B298" t="s">
        <v>379</v>
      </c>
      <c r="C298" t="s">
        <v>17</v>
      </c>
      <c r="D298" t="s">
        <v>486</v>
      </c>
      <c r="E298" t="s">
        <v>19</v>
      </c>
      <c r="F298" t="s">
        <v>172</v>
      </c>
      <c r="G298" s="1">
        <f>45694</f>
        <v>45694</v>
      </c>
      <c r="H298" t="s">
        <v>51</v>
      </c>
      <c r="I298" s="2">
        <v>311.48</v>
      </c>
      <c r="J298" s="2">
        <v>212.87</v>
      </c>
      <c r="K298" s="2">
        <v>98.61</v>
      </c>
      <c r="L298" s="2">
        <v>31.66</v>
      </c>
      <c r="M298" s="2">
        <v>311.48</v>
      </c>
      <c r="N298" s="2">
        <v>212.87</v>
      </c>
      <c r="O298" s="2">
        <v>89.61</v>
      </c>
      <c r="P298" s="2">
        <v>31.66</v>
      </c>
    </row>
    <row r="299" spans="1:16" x14ac:dyDescent="0.25">
      <c r="A299" t="s">
        <v>15</v>
      </c>
      <c r="B299" t="s">
        <v>379</v>
      </c>
      <c r="C299" t="s">
        <v>17</v>
      </c>
      <c r="D299" t="s">
        <v>487</v>
      </c>
      <c r="E299" t="s">
        <v>19</v>
      </c>
      <c r="F299" t="s">
        <v>144</v>
      </c>
      <c r="G299" s="1">
        <f>45695</f>
        <v>45695</v>
      </c>
      <c r="H299" t="s">
        <v>56</v>
      </c>
      <c r="I299" s="2">
        <v>453</v>
      </c>
      <c r="J299" s="2">
        <v>245.2</v>
      </c>
      <c r="K299" s="2">
        <v>207.8</v>
      </c>
      <c r="L299" s="2">
        <v>45.87</v>
      </c>
      <c r="M299" s="2">
        <v>453</v>
      </c>
      <c r="N299" s="2">
        <v>245.12</v>
      </c>
      <c r="O299" s="2">
        <v>173.88</v>
      </c>
      <c r="P299" s="2">
        <v>45.89</v>
      </c>
    </row>
    <row r="300" spans="1:16" x14ac:dyDescent="0.25">
      <c r="A300" t="s">
        <v>15</v>
      </c>
      <c r="B300" t="s">
        <v>379</v>
      </c>
      <c r="C300" t="s">
        <v>17</v>
      </c>
      <c r="D300" t="s">
        <v>488</v>
      </c>
      <c r="E300" t="s">
        <v>19</v>
      </c>
      <c r="F300" t="s">
        <v>489</v>
      </c>
      <c r="G300" s="1">
        <f>45698</f>
        <v>45698</v>
      </c>
      <c r="H300" t="s">
        <v>51</v>
      </c>
      <c r="I300" s="2">
        <v>620.12</v>
      </c>
      <c r="J300" s="2">
        <v>422</v>
      </c>
      <c r="K300" s="2">
        <v>198.12</v>
      </c>
      <c r="L300" s="2">
        <v>31.95</v>
      </c>
      <c r="M300" s="2">
        <v>620.12</v>
      </c>
      <c r="N300" s="2">
        <v>422</v>
      </c>
      <c r="O300" s="2">
        <v>157.12</v>
      </c>
      <c r="P300" s="2">
        <v>31.95</v>
      </c>
    </row>
    <row r="301" spans="1:16" x14ac:dyDescent="0.25">
      <c r="A301" t="s">
        <v>15</v>
      </c>
      <c r="B301" t="s">
        <v>379</v>
      </c>
      <c r="C301" t="s">
        <v>17</v>
      </c>
      <c r="D301" t="s">
        <v>490</v>
      </c>
      <c r="E301" t="s">
        <v>19</v>
      </c>
      <c r="F301" t="s">
        <v>491</v>
      </c>
      <c r="G301" s="1">
        <f>45701</f>
        <v>45701</v>
      </c>
      <c r="H301" t="s">
        <v>51</v>
      </c>
      <c r="I301" s="2">
        <v>181</v>
      </c>
      <c r="J301" s="2">
        <v>118.07</v>
      </c>
      <c r="K301" s="2">
        <v>62.93</v>
      </c>
      <c r="L301" s="2">
        <v>34.770000000000003</v>
      </c>
      <c r="M301" s="2">
        <v>181</v>
      </c>
      <c r="N301" s="2">
        <v>118.07</v>
      </c>
      <c r="O301" s="2">
        <v>53.93</v>
      </c>
      <c r="P301" s="2">
        <v>34.770000000000003</v>
      </c>
    </row>
    <row r="302" spans="1:16" x14ac:dyDescent="0.25">
      <c r="A302" t="s">
        <v>15</v>
      </c>
      <c r="B302" t="s">
        <v>379</v>
      </c>
      <c r="C302" t="s">
        <v>17</v>
      </c>
      <c r="D302" t="s">
        <v>492</v>
      </c>
      <c r="E302" t="s">
        <v>19</v>
      </c>
      <c r="F302" t="s">
        <v>50</v>
      </c>
      <c r="G302" s="1">
        <f>45705</f>
        <v>45705</v>
      </c>
      <c r="H302" t="s">
        <v>51</v>
      </c>
      <c r="I302" s="2">
        <v>2644.73</v>
      </c>
      <c r="J302" s="2">
        <v>1814.19</v>
      </c>
      <c r="K302" s="2">
        <v>830.54</v>
      </c>
      <c r="L302" s="2">
        <v>31.4</v>
      </c>
      <c r="M302" s="2">
        <v>2644.73</v>
      </c>
      <c r="N302" s="2">
        <v>1814.12</v>
      </c>
      <c r="O302" s="2">
        <v>830.61</v>
      </c>
      <c r="P302" s="2">
        <v>31.41</v>
      </c>
    </row>
    <row r="303" spans="1:16" x14ac:dyDescent="0.25">
      <c r="A303" t="s">
        <v>15</v>
      </c>
      <c r="B303" t="s">
        <v>379</v>
      </c>
      <c r="C303" t="s">
        <v>17</v>
      </c>
      <c r="D303" t="s">
        <v>493</v>
      </c>
      <c r="E303" t="s">
        <v>19</v>
      </c>
      <c r="F303" t="s">
        <v>494</v>
      </c>
      <c r="G303" s="1">
        <f>45707</f>
        <v>45707</v>
      </c>
      <c r="H303" t="s">
        <v>51</v>
      </c>
      <c r="I303" s="2">
        <v>392</v>
      </c>
      <c r="J303" s="2">
        <v>268.7</v>
      </c>
      <c r="K303" s="2">
        <v>123.3</v>
      </c>
      <c r="L303" s="2">
        <v>31.45</v>
      </c>
      <c r="M303" s="2">
        <v>392</v>
      </c>
      <c r="N303" s="2">
        <v>268.7</v>
      </c>
      <c r="O303" s="2">
        <v>113.3</v>
      </c>
      <c r="P303" s="2">
        <v>31.45</v>
      </c>
    </row>
    <row r="304" spans="1:16" x14ac:dyDescent="0.25">
      <c r="A304" t="s">
        <v>15</v>
      </c>
      <c r="B304" t="s">
        <v>379</v>
      </c>
      <c r="C304" t="s">
        <v>17</v>
      </c>
      <c r="D304" t="s">
        <v>495</v>
      </c>
      <c r="E304" t="s">
        <v>19</v>
      </c>
      <c r="F304" t="s">
        <v>176</v>
      </c>
      <c r="G304" s="1">
        <f>45714</f>
        <v>45714</v>
      </c>
      <c r="H304" t="s">
        <v>51</v>
      </c>
      <c r="I304" s="2">
        <v>615.29999999999995</v>
      </c>
      <c r="J304" s="2">
        <v>425.28</v>
      </c>
      <c r="K304" s="2">
        <v>190.02</v>
      </c>
      <c r="L304" s="2">
        <v>30.88</v>
      </c>
      <c r="M304" s="2">
        <v>615.29999999999995</v>
      </c>
      <c r="N304" s="2">
        <v>416.09</v>
      </c>
      <c r="O304" s="2">
        <v>181.21</v>
      </c>
      <c r="P304" s="2">
        <v>32.380000000000003</v>
      </c>
    </row>
    <row r="305" spans="1:16" x14ac:dyDescent="0.25">
      <c r="A305" t="s">
        <v>15</v>
      </c>
      <c r="B305" t="s">
        <v>379</v>
      </c>
      <c r="C305" t="s">
        <v>17</v>
      </c>
      <c r="D305" t="s">
        <v>496</v>
      </c>
      <c r="E305" t="s">
        <v>19</v>
      </c>
      <c r="F305" t="s">
        <v>497</v>
      </c>
      <c r="G305" s="1">
        <f>45716</f>
        <v>45716</v>
      </c>
      <c r="H305" t="s">
        <v>51</v>
      </c>
      <c r="I305" s="2">
        <v>394.78</v>
      </c>
      <c r="J305" s="2">
        <v>262.5</v>
      </c>
      <c r="K305" s="2">
        <v>132.28</v>
      </c>
      <c r="L305" s="2">
        <v>33.51</v>
      </c>
      <c r="M305" s="2">
        <v>394.78</v>
      </c>
      <c r="N305" s="2">
        <v>262.5</v>
      </c>
      <c r="O305" s="2">
        <v>123.28</v>
      </c>
      <c r="P305" s="2">
        <v>33.51</v>
      </c>
    </row>
    <row r="306" spans="1:16" x14ac:dyDescent="0.25">
      <c r="A306" t="s">
        <v>15</v>
      </c>
      <c r="B306" t="s">
        <v>379</v>
      </c>
      <c r="C306" t="s">
        <v>187</v>
      </c>
      <c r="D306" t="s">
        <v>498</v>
      </c>
      <c r="E306" t="s">
        <v>19</v>
      </c>
      <c r="F306" t="s">
        <v>189</v>
      </c>
      <c r="G306" s="1">
        <f>45691</f>
        <v>45691</v>
      </c>
      <c r="H306" t="s">
        <v>51</v>
      </c>
      <c r="I306" s="2">
        <v>350.84</v>
      </c>
      <c r="J306" s="2">
        <v>216.74</v>
      </c>
      <c r="K306" s="2">
        <v>134.1</v>
      </c>
      <c r="L306" s="2">
        <v>38.22</v>
      </c>
      <c r="M306" s="2">
        <v>350.84</v>
      </c>
      <c r="N306" s="2">
        <v>217.79</v>
      </c>
      <c r="O306" s="2">
        <v>54.05</v>
      </c>
      <c r="P306" s="2">
        <v>37.92</v>
      </c>
    </row>
    <row r="307" spans="1:16" x14ac:dyDescent="0.25">
      <c r="A307" t="s">
        <v>15</v>
      </c>
      <c r="B307" t="s">
        <v>379</v>
      </c>
      <c r="C307" t="s">
        <v>187</v>
      </c>
      <c r="D307" t="s">
        <v>499</v>
      </c>
      <c r="E307" t="s">
        <v>19</v>
      </c>
      <c r="F307" t="s">
        <v>191</v>
      </c>
      <c r="G307" s="1">
        <f>45691</f>
        <v>45691</v>
      </c>
      <c r="H307" t="s">
        <v>51</v>
      </c>
      <c r="I307" s="2">
        <v>310.7</v>
      </c>
      <c r="J307" s="2">
        <v>172.01</v>
      </c>
      <c r="K307" s="2">
        <v>138.69</v>
      </c>
      <c r="L307" s="2">
        <v>44.64</v>
      </c>
      <c r="M307" s="2">
        <v>310.7</v>
      </c>
      <c r="N307" s="2">
        <v>169.67</v>
      </c>
      <c r="O307" s="2">
        <v>132.03</v>
      </c>
      <c r="P307" s="2">
        <v>45.39</v>
      </c>
    </row>
    <row r="308" spans="1:16" x14ac:dyDescent="0.25">
      <c r="A308" t="s">
        <v>15</v>
      </c>
      <c r="B308" t="s">
        <v>379</v>
      </c>
      <c r="C308" t="s">
        <v>187</v>
      </c>
      <c r="D308" t="s">
        <v>500</v>
      </c>
      <c r="E308" t="s">
        <v>19</v>
      </c>
      <c r="F308" t="s">
        <v>501</v>
      </c>
      <c r="G308" s="1">
        <f>45692</f>
        <v>45692</v>
      </c>
      <c r="H308" t="s">
        <v>51</v>
      </c>
      <c r="I308" s="2">
        <v>1991.55</v>
      </c>
      <c r="J308" s="2">
        <v>1573.34</v>
      </c>
      <c r="K308" s="2">
        <v>418.21</v>
      </c>
      <c r="L308" s="2">
        <v>21</v>
      </c>
      <c r="M308" s="2">
        <v>1991.55</v>
      </c>
      <c r="N308" s="2">
        <v>1573.34</v>
      </c>
      <c r="O308" s="2">
        <v>418.21</v>
      </c>
      <c r="P308" s="2">
        <v>21</v>
      </c>
    </row>
    <row r="309" spans="1:16" x14ac:dyDescent="0.25">
      <c r="A309" t="s">
        <v>15</v>
      </c>
      <c r="B309" t="s">
        <v>379</v>
      </c>
      <c r="C309" t="s">
        <v>187</v>
      </c>
      <c r="D309" t="s">
        <v>502</v>
      </c>
      <c r="E309" t="s">
        <v>19</v>
      </c>
      <c r="F309" t="s">
        <v>503</v>
      </c>
      <c r="G309" s="1">
        <f>45692</f>
        <v>45692</v>
      </c>
      <c r="H309" t="s">
        <v>51</v>
      </c>
      <c r="I309" s="2">
        <v>615.4</v>
      </c>
      <c r="J309" s="2">
        <v>463</v>
      </c>
      <c r="K309" s="2">
        <v>152.4</v>
      </c>
      <c r="L309" s="2">
        <v>24.76</v>
      </c>
      <c r="M309" s="2">
        <v>615.4</v>
      </c>
      <c r="N309" s="2">
        <v>463</v>
      </c>
      <c r="O309" s="2">
        <v>103.4</v>
      </c>
      <c r="P309" s="2">
        <v>24.76</v>
      </c>
    </row>
    <row r="310" spans="1:16" x14ac:dyDescent="0.25">
      <c r="A310" t="s">
        <v>15</v>
      </c>
      <c r="B310" t="s">
        <v>379</v>
      </c>
      <c r="C310" t="s">
        <v>187</v>
      </c>
      <c r="D310" t="s">
        <v>504</v>
      </c>
      <c r="E310" t="s">
        <v>19</v>
      </c>
      <c r="F310" t="s">
        <v>505</v>
      </c>
      <c r="G310" s="1">
        <f>45692</f>
        <v>45692</v>
      </c>
      <c r="H310" t="s">
        <v>51</v>
      </c>
      <c r="I310" s="2">
        <v>492.3</v>
      </c>
      <c r="J310" s="2">
        <v>328.44</v>
      </c>
      <c r="K310" s="2">
        <v>163.86</v>
      </c>
      <c r="L310" s="2">
        <v>33.28</v>
      </c>
      <c r="M310" s="2">
        <v>492.3</v>
      </c>
      <c r="N310" s="2">
        <v>328.44</v>
      </c>
      <c r="O310" s="2">
        <v>153.86000000000001</v>
      </c>
      <c r="P310" s="2">
        <v>33.28</v>
      </c>
    </row>
    <row r="311" spans="1:16" x14ac:dyDescent="0.25">
      <c r="A311" t="s">
        <v>15</v>
      </c>
      <c r="B311" t="s">
        <v>379</v>
      </c>
      <c r="C311" t="s">
        <v>187</v>
      </c>
      <c r="D311" t="s">
        <v>506</v>
      </c>
      <c r="E311" t="s">
        <v>19</v>
      </c>
      <c r="F311" t="s">
        <v>507</v>
      </c>
      <c r="G311" s="1">
        <f>45694</f>
        <v>45694</v>
      </c>
      <c r="H311" t="s">
        <v>51</v>
      </c>
      <c r="I311" s="2">
        <v>2758.7</v>
      </c>
      <c r="J311" s="2">
        <v>1996.48</v>
      </c>
      <c r="K311" s="2">
        <v>762.22</v>
      </c>
      <c r="L311" s="2">
        <v>27.63</v>
      </c>
      <c r="M311" s="2">
        <v>2758.7</v>
      </c>
      <c r="N311" s="2">
        <v>1997.65</v>
      </c>
      <c r="O311" s="2">
        <v>741.03</v>
      </c>
      <c r="P311" s="2">
        <v>27.59</v>
      </c>
    </row>
    <row r="312" spans="1:16" x14ac:dyDescent="0.25">
      <c r="A312" t="s">
        <v>15</v>
      </c>
      <c r="B312" t="s">
        <v>379</v>
      </c>
      <c r="C312" t="s">
        <v>187</v>
      </c>
      <c r="D312" t="s">
        <v>508</v>
      </c>
      <c r="E312" t="s">
        <v>19</v>
      </c>
      <c r="F312" t="s">
        <v>507</v>
      </c>
      <c r="G312" s="1">
        <f>45694</f>
        <v>45694</v>
      </c>
      <c r="H312" t="s">
        <v>51</v>
      </c>
      <c r="I312" s="2">
        <v>1963</v>
      </c>
      <c r="J312" s="2">
        <v>1318.65</v>
      </c>
      <c r="K312" s="2">
        <v>644.35</v>
      </c>
      <c r="L312" s="2">
        <v>32.82</v>
      </c>
      <c r="M312" s="2">
        <v>1963</v>
      </c>
      <c r="N312" s="2">
        <v>1310.92</v>
      </c>
      <c r="O312" s="2">
        <v>490.08</v>
      </c>
      <c r="P312" s="2">
        <v>33.22</v>
      </c>
    </row>
    <row r="313" spans="1:16" x14ac:dyDescent="0.25">
      <c r="A313" t="s">
        <v>15</v>
      </c>
      <c r="B313" t="s">
        <v>379</v>
      </c>
      <c r="C313" t="s">
        <v>187</v>
      </c>
      <c r="D313" t="s">
        <v>509</v>
      </c>
      <c r="E313" t="s">
        <v>19</v>
      </c>
      <c r="F313" t="s">
        <v>507</v>
      </c>
      <c r="G313" s="1">
        <f>45694</f>
        <v>45694</v>
      </c>
      <c r="H313" t="s">
        <v>51</v>
      </c>
      <c r="I313" s="2">
        <v>3130.6</v>
      </c>
      <c r="J313" s="2">
        <v>2191.5</v>
      </c>
      <c r="K313" s="2">
        <v>939.1</v>
      </c>
      <c r="L313" s="2">
        <v>30</v>
      </c>
      <c r="M313" s="2">
        <v>3130.6</v>
      </c>
      <c r="N313" s="2">
        <v>2191.5</v>
      </c>
      <c r="O313" s="2">
        <v>779.1</v>
      </c>
      <c r="P313" s="2">
        <v>30</v>
      </c>
    </row>
    <row r="314" spans="1:16" x14ac:dyDescent="0.25">
      <c r="A314" t="s">
        <v>15</v>
      </c>
      <c r="B314" t="s">
        <v>379</v>
      </c>
      <c r="C314" t="s">
        <v>187</v>
      </c>
      <c r="D314" t="s">
        <v>510</v>
      </c>
      <c r="E314" t="s">
        <v>19</v>
      </c>
      <c r="F314" t="s">
        <v>511</v>
      </c>
      <c r="G314" s="1">
        <f>45694</f>
        <v>45694</v>
      </c>
      <c r="H314" t="s">
        <v>51</v>
      </c>
      <c r="I314" s="2">
        <v>2562.4</v>
      </c>
      <c r="J314" s="2">
        <v>1753.9</v>
      </c>
      <c r="K314" s="2">
        <v>808.5</v>
      </c>
      <c r="L314" s="2">
        <v>31.55</v>
      </c>
      <c r="M314" s="2">
        <v>2562.4</v>
      </c>
      <c r="N314" s="2">
        <v>1753.9</v>
      </c>
      <c r="O314" s="2">
        <v>753.5</v>
      </c>
      <c r="P314" s="2">
        <v>31.55</v>
      </c>
    </row>
    <row r="315" spans="1:16" x14ac:dyDescent="0.25">
      <c r="A315" t="s">
        <v>15</v>
      </c>
      <c r="B315" t="s">
        <v>379</v>
      </c>
      <c r="C315" t="s">
        <v>187</v>
      </c>
      <c r="D315" t="s">
        <v>512</v>
      </c>
      <c r="E315" t="s">
        <v>19</v>
      </c>
      <c r="F315" t="s">
        <v>189</v>
      </c>
      <c r="G315" s="1">
        <f>45695</f>
        <v>45695</v>
      </c>
      <c r="H315" t="s">
        <v>51</v>
      </c>
      <c r="I315" s="2">
        <v>3370.1</v>
      </c>
      <c r="J315" s="2">
        <v>2454.31</v>
      </c>
      <c r="K315" s="2">
        <v>915.79</v>
      </c>
      <c r="L315" s="2">
        <v>27.17</v>
      </c>
      <c r="M315" s="2">
        <v>3370.1</v>
      </c>
      <c r="N315" s="2">
        <v>2454.31</v>
      </c>
      <c r="O315" s="2">
        <v>622.66999999999996</v>
      </c>
      <c r="P315" s="2">
        <v>27.17</v>
      </c>
    </row>
    <row r="316" spans="1:16" x14ac:dyDescent="0.25">
      <c r="A316" t="s">
        <v>15</v>
      </c>
      <c r="B316" t="s">
        <v>379</v>
      </c>
      <c r="C316" t="s">
        <v>187</v>
      </c>
      <c r="D316" t="s">
        <v>513</v>
      </c>
      <c r="E316" t="s">
        <v>19</v>
      </c>
      <c r="F316" t="s">
        <v>514</v>
      </c>
      <c r="G316" s="1">
        <f>45695</f>
        <v>45695</v>
      </c>
      <c r="H316" t="s">
        <v>51</v>
      </c>
      <c r="I316" s="2">
        <v>4920</v>
      </c>
      <c r="J316" s="2">
        <v>3103.5</v>
      </c>
      <c r="K316" s="2">
        <v>1816.5</v>
      </c>
      <c r="L316" s="2">
        <v>36.92</v>
      </c>
      <c r="M316" s="2">
        <v>4920</v>
      </c>
      <c r="N316" s="2">
        <v>3103.5</v>
      </c>
      <c r="O316" s="2">
        <v>1694.5</v>
      </c>
      <c r="P316" s="2">
        <v>36.92</v>
      </c>
    </row>
    <row r="317" spans="1:16" x14ac:dyDescent="0.25">
      <c r="A317" t="s">
        <v>15</v>
      </c>
      <c r="B317" t="s">
        <v>379</v>
      </c>
      <c r="C317" t="s">
        <v>187</v>
      </c>
      <c r="D317" t="s">
        <v>515</v>
      </c>
      <c r="E317" t="s">
        <v>19</v>
      </c>
      <c r="F317" t="s">
        <v>189</v>
      </c>
      <c r="G317" s="1">
        <f>45698</f>
        <v>45698</v>
      </c>
      <c r="H317" t="s">
        <v>51</v>
      </c>
      <c r="I317" s="2">
        <v>1323.2</v>
      </c>
      <c r="J317" s="2">
        <v>897.63</v>
      </c>
      <c r="K317" s="2">
        <v>425.57</v>
      </c>
      <c r="L317" s="2">
        <v>32.159999999999997</v>
      </c>
      <c r="M317" s="2">
        <v>1323.2</v>
      </c>
      <c r="N317" s="2">
        <v>899.29</v>
      </c>
      <c r="O317" s="2">
        <v>413.91</v>
      </c>
      <c r="P317" s="2">
        <v>32.04</v>
      </c>
    </row>
    <row r="318" spans="1:16" x14ac:dyDescent="0.25">
      <c r="A318" t="s">
        <v>15</v>
      </c>
      <c r="B318" t="s">
        <v>379</v>
      </c>
      <c r="C318" t="s">
        <v>187</v>
      </c>
      <c r="D318" t="s">
        <v>516</v>
      </c>
      <c r="E318" t="s">
        <v>19</v>
      </c>
      <c r="F318" t="s">
        <v>191</v>
      </c>
      <c r="G318" s="1">
        <f>45698</f>
        <v>45698</v>
      </c>
      <c r="H318" t="s">
        <v>51</v>
      </c>
      <c r="I318" s="2">
        <v>219.28</v>
      </c>
      <c r="J318" s="2">
        <v>127.36</v>
      </c>
      <c r="K318" s="2">
        <v>91.92</v>
      </c>
      <c r="L318" s="2">
        <v>41.92</v>
      </c>
      <c r="M318" s="2">
        <v>219.28</v>
      </c>
      <c r="N318" s="2">
        <v>127.36</v>
      </c>
      <c r="O318" s="2">
        <v>82.92</v>
      </c>
      <c r="P318" s="2">
        <v>41.92</v>
      </c>
    </row>
    <row r="319" spans="1:16" x14ac:dyDescent="0.25">
      <c r="A319" t="s">
        <v>15</v>
      </c>
      <c r="B319" t="s">
        <v>379</v>
      </c>
      <c r="C319" t="s">
        <v>187</v>
      </c>
      <c r="D319" t="s">
        <v>517</v>
      </c>
      <c r="E319" t="s">
        <v>19</v>
      </c>
      <c r="F319" t="s">
        <v>196</v>
      </c>
      <c r="G319" s="1">
        <f>45698</f>
        <v>45698</v>
      </c>
      <c r="H319" t="s">
        <v>51</v>
      </c>
      <c r="I319" s="2">
        <v>1371</v>
      </c>
      <c r="J319" s="2">
        <v>990</v>
      </c>
      <c r="K319" s="2">
        <v>381</v>
      </c>
      <c r="L319" s="2">
        <v>27.79</v>
      </c>
      <c r="M319" s="2">
        <v>1371</v>
      </c>
      <c r="N319" s="2">
        <v>990</v>
      </c>
      <c r="O319" s="2">
        <v>261</v>
      </c>
      <c r="P319" s="2">
        <v>27.79</v>
      </c>
    </row>
    <row r="320" spans="1:16" x14ac:dyDescent="0.25">
      <c r="A320" t="s">
        <v>15</v>
      </c>
      <c r="B320" t="s">
        <v>379</v>
      </c>
      <c r="C320" t="s">
        <v>187</v>
      </c>
      <c r="D320" t="s">
        <v>518</v>
      </c>
      <c r="E320" t="s">
        <v>19</v>
      </c>
      <c r="F320" t="s">
        <v>204</v>
      </c>
      <c r="G320" s="1">
        <f>45698</f>
        <v>45698</v>
      </c>
      <c r="H320" t="s">
        <v>51</v>
      </c>
      <c r="I320" s="2">
        <v>1559.1</v>
      </c>
      <c r="J320" s="2">
        <v>956.5</v>
      </c>
      <c r="K320" s="2">
        <v>602.6</v>
      </c>
      <c r="L320" s="2">
        <v>38.65</v>
      </c>
      <c r="M320" s="2">
        <v>1559.1</v>
      </c>
      <c r="N320" s="2">
        <v>956.5</v>
      </c>
      <c r="O320" s="2">
        <v>550.6</v>
      </c>
      <c r="P320" s="2">
        <v>38.65</v>
      </c>
    </row>
    <row r="321" spans="1:16" x14ac:dyDescent="0.25">
      <c r="A321" t="s">
        <v>15</v>
      </c>
      <c r="B321" t="s">
        <v>379</v>
      </c>
      <c r="C321" t="s">
        <v>187</v>
      </c>
      <c r="D321" t="s">
        <v>519</v>
      </c>
      <c r="E321" t="s">
        <v>19</v>
      </c>
      <c r="F321" t="s">
        <v>520</v>
      </c>
      <c r="G321" s="1">
        <f>45699</f>
        <v>45699</v>
      </c>
      <c r="H321" t="s">
        <v>51</v>
      </c>
      <c r="I321" s="2">
        <v>4524</v>
      </c>
      <c r="J321" s="2">
        <v>2933.8</v>
      </c>
      <c r="K321" s="2">
        <v>1590.2</v>
      </c>
      <c r="L321" s="2">
        <v>35.15</v>
      </c>
      <c r="M321" s="2">
        <v>4524</v>
      </c>
      <c r="N321" s="2">
        <v>2933.8</v>
      </c>
      <c r="O321" s="2">
        <v>1564.52</v>
      </c>
      <c r="P321" s="2">
        <v>35.15</v>
      </c>
    </row>
    <row r="322" spans="1:16" x14ac:dyDescent="0.25">
      <c r="A322" t="s">
        <v>15</v>
      </c>
      <c r="B322" t="s">
        <v>379</v>
      </c>
      <c r="C322" t="s">
        <v>187</v>
      </c>
      <c r="D322" t="s">
        <v>521</v>
      </c>
      <c r="E322" t="s">
        <v>19</v>
      </c>
      <c r="F322" t="s">
        <v>206</v>
      </c>
      <c r="G322" s="1">
        <f>45700</f>
        <v>45700</v>
      </c>
      <c r="H322" t="s">
        <v>51</v>
      </c>
      <c r="I322" s="2">
        <v>505.1</v>
      </c>
      <c r="J322" s="2">
        <v>320.86</v>
      </c>
      <c r="K322" s="2">
        <v>184.24</v>
      </c>
      <c r="L322" s="2">
        <v>36.479999999999997</v>
      </c>
      <c r="M322" s="2">
        <v>505.1</v>
      </c>
      <c r="N322" s="2">
        <v>320.86</v>
      </c>
      <c r="O322" s="2">
        <v>166.45</v>
      </c>
      <c r="P322" s="2">
        <v>36.479999999999997</v>
      </c>
    </row>
    <row r="323" spans="1:16" x14ac:dyDescent="0.25">
      <c r="A323" t="s">
        <v>15</v>
      </c>
      <c r="B323" t="s">
        <v>379</v>
      </c>
      <c r="C323" t="s">
        <v>187</v>
      </c>
      <c r="D323" t="s">
        <v>522</v>
      </c>
      <c r="E323" t="s">
        <v>19</v>
      </c>
      <c r="F323" t="s">
        <v>248</v>
      </c>
      <c r="G323" s="1">
        <f>45701</f>
        <v>45701</v>
      </c>
      <c r="H323" t="s">
        <v>51</v>
      </c>
      <c r="I323" s="2">
        <v>164.9</v>
      </c>
      <c r="J323" s="2">
        <v>92</v>
      </c>
      <c r="K323" s="2">
        <v>72.900000000000006</v>
      </c>
      <c r="L323" s="2">
        <v>44.21</v>
      </c>
      <c r="M323" s="2">
        <v>164.9</v>
      </c>
      <c r="N323" s="2">
        <v>92</v>
      </c>
      <c r="O323" s="2">
        <v>52.9</v>
      </c>
      <c r="P323" s="2">
        <v>44.21</v>
      </c>
    </row>
    <row r="324" spans="1:16" x14ac:dyDescent="0.25">
      <c r="A324" t="s">
        <v>15</v>
      </c>
      <c r="B324" t="s">
        <v>379</v>
      </c>
      <c r="C324" t="s">
        <v>187</v>
      </c>
      <c r="D324" t="s">
        <v>523</v>
      </c>
      <c r="E324" t="s">
        <v>19</v>
      </c>
      <c r="F324" t="s">
        <v>211</v>
      </c>
      <c r="G324" s="1">
        <f>45701</f>
        <v>45701</v>
      </c>
      <c r="H324" t="s">
        <v>51</v>
      </c>
      <c r="I324" s="2">
        <v>657.71</v>
      </c>
      <c r="J324" s="2">
        <v>422.21</v>
      </c>
      <c r="K324" s="2">
        <v>235.5</v>
      </c>
      <c r="L324" s="2">
        <v>35.81</v>
      </c>
      <c r="M324" s="2">
        <v>657.71</v>
      </c>
      <c r="N324" s="2">
        <v>422.21</v>
      </c>
      <c r="O324" s="2">
        <v>191.5</v>
      </c>
      <c r="P324" s="2">
        <v>35.81</v>
      </c>
    </row>
    <row r="325" spans="1:16" x14ac:dyDescent="0.25">
      <c r="A325" t="s">
        <v>15</v>
      </c>
      <c r="B325" t="s">
        <v>379</v>
      </c>
      <c r="C325" t="s">
        <v>187</v>
      </c>
      <c r="D325" t="s">
        <v>524</v>
      </c>
      <c r="E325" t="s">
        <v>19</v>
      </c>
      <c r="F325" t="s">
        <v>189</v>
      </c>
      <c r="G325" s="1">
        <f>45701</f>
        <v>45701</v>
      </c>
      <c r="H325" t="s">
        <v>51</v>
      </c>
      <c r="I325" s="2">
        <v>1369.18</v>
      </c>
      <c r="J325" s="2">
        <v>999.2</v>
      </c>
      <c r="K325" s="2">
        <v>369.98</v>
      </c>
      <c r="L325" s="2">
        <v>27.02</v>
      </c>
      <c r="M325" s="2">
        <v>1369.18</v>
      </c>
      <c r="N325" s="2">
        <v>999.18</v>
      </c>
      <c r="O325" s="2">
        <v>361</v>
      </c>
      <c r="P325" s="2">
        <v>27.02</v>
      </c>
    </row>
    <row r="326" spans="1:16" x14ac:dyDescent="0.25">
      <c r="A326" t="s">
        <v>15</v>
      </c>
      <c r="B326" t="s">
        <v>379</v>
      </c>
      <c r="C326" t="s">
        <v>187</v>
      </c>
      <c r="D326" t="s">
        <v>525</v>
      </c>
      <c r="E326" t="s">
        <v>19</v>
      </c>
      <c r="F326" t="s">
        <v>217</v>
      </c>
      <c r="G326" s="1">
        <f>45705</f>
        <v>45705</v>
      </c>
      <c r="H326" t="s">
        <v>51</v>
      </c>
      <c r="I326" s="2">
        <v>334</v>
      </c>
      <c r="J326" s="2">
        <v>222.77</v>
      </c>
      <c r="K326" s="2">
        <v>111.23</v>
      </c>
      <c r="L326" s="2">
        <v>33.299999999999997</v>
      </c>
      <c r="M326" s="2">
        <v>334</v>
      </c>
      <c r="N326" s="2">
        <v>222.77</v>
      </c>
      <c r="O326" s="2">
        <v>102.23</v>
      </c>
      <c r="P326" s="2">
        <v>33.299999999999997</v>
      </c>
    </row>
    <row r="327" spans="1:16" x14ac:dyDescent="0.25">
      <c r="A327" t="s">
        <v>15</v>
      </c>
      <c r="B327" t="s">
        <v>379</v>
      </c>
      <c r="C327" t="s">
        <v>187</v>
      </c>
      <c r="D327" t="s">
        <v>526</v>
      </c>
      <c r="E327" t="s">
        <v>19</v>
      </c>
      <c r="F327" t="s">
        <v>215</v>
      </c>
      <c r="G327" s="1">
        <f>45705</f>
        <v>45705</v>
      </c>
      <c r="H327" t="s">
        <v>51</v>
      </c>
      <c r="I327" s="2">
        <v>903.6</v>
      </c>
      <c r="J327" s="2">
        <v>644.91999999999996</v>
      </c>
      <c r="K327" s="2">
        <v>258.68</v>
      </c>
      <c r="L327" s="2">
        <v>28.63</v>
      </c>
      <c r="M327" s="2">
        <v>903.6</v>
      </c>
      <c r="N327" s="2">
        <v>644.91999999999996</v>
      </c>
      <c r="O327" s="2">
        <v>221.68</v>
      </c>
      <c r="P327" s="2">
        <v>28.63</v>
      </c>
    </row>
    <row r="328" spans="1:16" x14ac:dyDescent="0.25">
      <c r="A328" t="s">
        <v>15</v>
      </c>
      <c r="B328" t="s">
        <v>379</v>
      </c>
      <c r="C328" t="s">
        <v>187</v>
      </c>
      <c r="D328" t="s">
        <v>527</v>
      </c>
      <c r="E328" t="s">
        <v>19</v>
      </c>
      <c r="F328" t="s">
        <v>528</v>
      </c>
      <c r="G328" s="1">
        <f>45706</f>
        <v>45706</v>
      </c>
      <c r="H328" t="s">
        <v>51</v>
      </c>
      <c r="I328" s="2">
        <v>508</v>
      </c>
      <c r="J328" s="2">
        <v>337</v>
      </c>
      <c r="K328" s="2">
        <v>171</v>
      </c>
      <c r="L328" s="2">
        <v>33.659999999999997</v>
      </c>
      <c r="M328" s="2">
        <v>508</v>
      </c>
      <c r="N328" s="2">
        <v>337</v>
      </c>
      <c r="O328" s="2">
        <v>157</v>
      </c>
      <c r="P328" s="2">
        <v>33.659999999999997</v>
      </c>
    </row>
    <row r="329" spans="1:16" x14ac:dyDescent="0.25">
      <c r="A329" t="s">
        <v>15</v>
      </c>
      <c r="B329" t="s">
        <v>379</v>
      </c>
      <c r="C329" t="s">
        <v>187</v>
      </c>
      <c r="D329" t="s">
        <v>529</v>
      </c>
      <c r="E329" t="s">
        <v>19</v>
      </c>
      <c r="F329" t="s">
        <v>189</v>
      </c>
      <c r="G329" s="1">
        <f>45706</f>
        <v>45706</v>
      </c>
      <c r="H329" t="s">
        <v>51</v>
      </c>
      <c r="I329" s="2">
        <v>460.76</v>
      </c>
      <c r="J329" s="2">
        <v>303.35000000000002</v>
      </c>
      <c r="K329" s="2">
        <v>157.41</v>
      </c>
      <c r="L329" s="2">
        <v>34.159999999999997</v>
      </c>
      <c r="M329" s="2">
        <v>460.76</v>
      </c>
      <c r="N329" s="2">
        <v>303.36</v>
      </c>
      <c r="O329" s="2">
        <v>139.4</v>
      </c>
      <c r="P329" s="2">
        <v>34.159999999999997</v>
      </c>
    </row>
    <row r="330" spans="1:16" x14ac:dyDescent="0.25">
      <c r="A330" t="s">
        <v>15</v>
      </c>
      <c r="B330" t="s">
        <v>379</v>
      </c>
      <c r="C330" t="s">
        <v>187</v>
      </c>
      <c r="D330" t="s">
        <v>530</v>
      </c>
      <c r="E330" t="s">
        <v>19</v>
      </c>
      <c r="F330" t="s">
        <v>189</v>
      </c>
      <c r="G330" s="1">
        <f>45706</f>
        <v>45706</v>
      </c>
      <c r="H330" t="s">
        <v>51</v>
      </c>
      <c r="I330" s="2">
        <v>969</v>
      </c>
      <c r="J330" s="2">
        <v>649.4</v>
      </c>
      <c r="K330" s="2">
        <v>319.60000000000002</v>
      </c>
      <c r="L330" s="2">
        <v>32.979999999999997</v>
      </c>
      <c r="M330" s="2">
        <v>969</v>
      </c>
      <c r="N330" s="2">
        <v>649.4</v>
      </c>
      <c r="O330" s="2">
        <v>280.60000000000002</v>
      </c>
      <c r="P330" s="2">
        <v>32.979999999999997</v>
      </c>
    </row>
    <row r="331" spans="1:16" x14ac:dyDescent="0.25">
      <c r="A331" t="s">
        <v>15</v>
      </c>
      <c r="B331" t="s">
        <v>379</v>
      </c>
      <c r="C331" t="s">
        <v>187</v>
      </c>
      <c r="D331" t="s">
        <v>531</v>
      </c>
      <c r="E331" t="s">
        <v>19</v>
      </c>
      <c r="F331" t="s">
        <v>224</v>
      </c>
      <c r="G331" s="1">
        <f>45707</f>
        <v>45707</v>
      </c>
      <c r="H331" t="s">
        <v>51</v>
      </c>
      <c r="I331" s="2">
        <v>977.9</v>
      </c>
      <c r="J331" s="2">
        <v>709.31</v>
      </c>
      <c r="K331" s="2">
        <v>268.58999999999997</v>
      </c>
      <c r="L331" s="2">
        <v>27.47</v>
      </c>
      <c r="M331" s="2">
        <v>977.9</v>
      </c>
      <c r="N331" s="2">
        <v>709.31</v>
      </c>
      <c r="O331" s="2">
        <v>202.59</v>
      </c>
      <c r="P331" s="2">
        <v>27.47</v>
      </c>
    </row>
    <row r="332" spans="1:16" x14ac:dyDescent="0.25">
      <c r="A332" t="s">
        <v>15</v>
      </c>
      <c r="B332" t="s">
        <v>379</v>
      </c>
      <c r="C332" t="s">
        <v>187</v>
      </c>
      <c r="D332" t="s">
        <v>532</v>
      </c>
      <c r="E332" t="s">
        <v>19</v>
      </c>
      <c r="F332" t="s">
        <v>533</v>
      </c>
      <c r="G332" s="1">
        <f>45707</f>
        <v>45707</v>
      </c>
      <c r="H332" t="s">
        <v>51</v>
      </c>
      <c r="I332" s="2">
        <v>2597.59</v>
      </c>
      <c r="J332" s="2">
        <v>1760.4</v>
      </c>
      <c r="K332" s="2">
        <v>837.19</v>
      </c>
      <c r="L332" s="2">
        <v>32.229999999999997</v>
      </c>
      <c r="M332" s="2">
        <v>2597.59</v>
      </c>
      <c r="N332" s="2">
        <v>1760.4</v>
      </c>
      <c r="O332" s="2">
        <v>743.19</v>
      </c>
      <c r="P332" s="2">
        <v>32.229999999999997</v>
      </c>
    </row>
    <row r="333" spans="1:16" x14ac:dyDescent="0.25">
      <c r="A333" t="s">
        <v>15</v>
      </c>
      <c r="B333" t="s">
        <v>379</v>
      </c>
      <c r="C333" t="s">
        <v>187</v>
      </c>
      <c r="D333" t="s">
        <v>534</v>
      </c>
      <c r="E333" t="s">
        <v>19</v>
      </c>
      <c r="F333" t="s">
        <v>228</v>
      </c>
      <c r="G333" s="1">
        <f>45707</f>
        <v>45707</v>
      </c>
      <c r="H333" t="s">
        <v>51</v>
      </c>
      <c r="I333" s="2">
        <v>8234.35</v>
      </c>
      <c r="J333" s="2">
        <v>4173</v>
      </c>
      <c r="K333" s="2">
        <v>4061.35</v>
      </c>
      <c r="L333" s="2">
        <v>49.32</v>
      </c>
      <c r="M333" s="2">
        <v>8234.35</v>
      </c>
      <c r="N333" s="2">
        <v>4173</v>
      </c>
      <c r="O333" s="2">
        <v>4061.35</v>
      </c>
      <c r="P333" s="2">
        <v>49.32</v>
      </c>
    </row>
    <row r="334" spans="1:16" x14ac:dyDescent="0.25">
      <c r="A334" t="s">
        <v>15</v>
      </c>
      <c r="B334" t="s">
        <v>379</v>
      </c>
      <c r="C334" t="s">
        <v>187</v>
      </c>
      <c r="D334" t="s">
        <v>535</v>
      </c>
      <c r="E334" t="s">
        <v>19</v>
      </c>
      <c r="F334" t="s">
        <v>219</v>
      </c>
      <c r="G334" s="1">
        <f>45712</f>
        <v>45712</v>
      </c>
      <c r="H334" t="s">
        <v>51</v>
      </c>
      <c r="I334" s="2">
        <v>2031.4</v>
      </c>
      <c r="J334" s="2">
        <v>1209.4000000000001</v>
      </c>
      <c r="K334" s="2">
        <v>822</v>
      </c>
      <c r="L334" s="2">
        <v>40.46</v>
      </c>
      <c r="M334" s="2">
        <v>2031.4</v>
      </c>
      <c r="N334" s="2">
        <v>1209.4000000000001</v>
      </c>
      <c r="O334" s="2">
        <v>792</v>
      </c>
      <c r="P334" s="2">
        <v>40.46</v>
      </c>
    </row>
    <row r="335" spans="1:16" x14ac:dyDescent="0.25">
      <c r="A335" t="s">
        <v>15</v>
      </c>
      <c r="B335" t="s">
        <v>379</v>
      </c>
      <c r="C335" t="s">
        <v>187</v>
      </c>
      <c r="D335" t="s">
        <v>536</v>
      </c>
      <c r="E335" t="s">
        <v>19</v>
      </c>
      <c r="F335" t="s">
        <v>501</v>
      </c>
      <c r="G335" s="1">
        <f>45712</f>
        <v>45712</v>
      </c>
      <c r="H335" t="s">
        <v>51</v>
      </c>
      <c r="I335" s="2">
        <v>1553</v>
      </c>
      <c r="J335" s="2">
        <v>1087</v>
      </c>
      <c r="K335" s="2">
        <v>466</v>
      </c>
      <c r="L335" s="2">
        <v>30.01</v>
      </c>
      <c r="M335" s="2">
        <v>1553</v>
      </c>
      <c r="N335" s="2">
        <v>1087</v>
      </c>
      <c r="O335" s="2">
        <v>419</v>
      </c>
      <c r="P335" s="2">
        <v>30.01</v>
      </c>
    </row>
    <row r="336" spans="1:16" x14ac:dyDescent="0.25">
      <c r="A336" t="s">
        <v>15</v>
      </c>
      <c r="B336" t="s">
        <v>379</v>
      </c>
      <c r="C336" t="s">
        <v>187</v>
      </c>
      <c r="D336" t="s">
        <v>537</v>
      </c>
      <c r="E336" t="s">
        <v>19</v>
      </c>
      <c r="F336" t="s">
        <v>189</v>
      </c>
      <c r="G336" s="1">
        <f>45713</f>
        <v>45713</v>
      </c>
      <c r="H336" t="s">
        <v>51</v>
      </c>
      <c r="I336" s="2">
        <v>292</v>
      </c>
      <c r="J336" s="2">
        <v>161</v>
      </c>
      <c r="K336" s="2">
        <v>131</v>
      </c>
      <c r="L336" s="2">
        <v>44.86</v>
      </c>
      <c r="M336" s="2">
        <v>292</v>
      </c>
      <c r="N336" s="2">
        <v>161</v>
      </c>
      <c r="O336" s="2">
        <v>94</v>
      </c>
      <c r="P336" s="2">
        <v>44.86</v>
      </c>
    </row>
    <row r="337" spans="1:16" x14ac:dyDescent="0.25">
      <c r="A337" t="s">
        <v>15</v>
      </c>
      <c r="B337" t="s">
        <v>379</v>
      </c>
      <c r="C337" t="s">
        <v>187</v>
      </c>
      <c r="D337" t="s">
        <v>538</v>
      </c>
      <c r="E337" t="s">
        <v>19</v>
      </c>
      <c r="F337" t="s">
        <v>211</v>
      </c>
      <c r="G337" s="1">
        <f>45714</f>
        <v>45714</v>
      </c>
      <c r="H337" t="s">
        <v>51</v>
      </c>
      <c r="I337" s="2">
        <v>612.24</v>
      </c>
      <c r="J337" s="2">
        <v>360</v>
      </c>
      <c r="K337" s="2">
        <v>252.24</v>
      </c>
      <c r="L337" s="2">
        <v>41.2</v>
      </c>
      <c r="M337" s="2">
        <v>612.24</v>
      </c>
      <c r="N337" s="2">
        <v>360</v>
      </c>
      <c r="O337" s="2">
        <v>242.24</v>
      </c>
      <c r="P337" s="2">
        <v>41.2</v>
      </c>
    </row>
    <row r="338" spans="1:16" x14ac:dyDescent="0.25">
      <c r="A338" t="s">
        <v>15</v>
      </c>
      <c r="B338" t="s">
        <v>379</v>
      </c>
      <c r="C338" t="s">
        <v>187</v>
      </c>
      <c r="D338" t="s">
        <v>539</v>
      </c>
      <c r="E338" t="s">
        <v>19</v>
      </c>
      <c r="F338" t="s">
        <v>213</v>
      </c>
      <c r="G338" s="1">
        <f>45714</f>
        <v>45714</v>
      </c>
      <c r="H338" t="s">
        <v>51</v>
      </c>
      <c r="I338" s="2">
        <v>786.4</v>
      </c>
      <c r="J338" s="2">
        <v>533.66</v>
      </c>
      <c r="K338" s="2">
        <v>252.74</v>
      </c>
      <c r="L338" s="2">
        <v>32.14</v>
      </c>
      <c r="M338" s="2">
        <v>786.4</v>
      </c>
      <c r="N338" s="2">
        <v>533.66</v>
      </c>
      <c r="O338" s="2">
        <v>252.74</v>
      </c>
      <c r="P338" s="2">
        <v>32.14</v>
      </c>
    </row>
    <row r="339" spans="1:16" x14ac:dyDescent="0.25">
      <c r="A339" t="s">
        <v>15</v>
      </c>
      <c r="B339" t="s">
        <v>379</v>
      </c>
      <c r="C339" t="s">
        <v>187</v>
      </c>
      <c r="D339" t="s">
        <v>540</v>
      </c>
      <c r="E339" t="s">
        <v>19</v>
      </c>
      <c r="F339" t="s">
        <v>541</v>
      </c>
      <c r="G339" s="1">
        <f>45714</f>
        <v>45714</v>
      </c>
      <c r="H339" t="s">
        <v>51</v>
      </c>
      <c r="I339" s="2">
        <v>351</v>
      </c>
      <c r="J339" s="2">
        <v>239.17</v>
      </c>
      <c r="K339" s="2">
        <v>111.83</v>
      </c>
      <c r="L339" s="2">
        <v>31.86</v>
      </c>
      <c r="M339" s="2">
        <v>351</v>
      </c>
      <c r="N339" s="2">
        <v>239.17</v>
      </c>
      <c r="O339" s="2">
        <v>102.83</v>
      </c>
      <c r="P339" s="2">
        <v>31.86</v>
      </c>
    </row>
    <row r="340" spans="1:16" x14ac:dyDescent="0.25">
      <c r="A340" t="s">
        <v>15</v>
      </c>
      <c r="B340" t="s">
        <v>379</v>
      </c>
      <c r="C340" t="s">
        <v>187</v>
      </c>
      <c r="D340" t="s">
        <v>542</v>
      </c>
      <c r="E340" t="s">
        <v>19</v>
      </c>
      <c r="F340" t="s">
        <v>191</v>
      </c>
      <c r="G340" s="1">
        <f>45714</f>
        <v>45714</v>
      </c>
      <c r="H340" t="s">
        <v>51</v>
      </c>
      <c r="I340" s="2">
        <v>1090.75</v>
      </c>
      <c r="J340" s="2">
        <v>759</v>
      </c>
      <c r="K340" s="2">
        <v>331.75</v>
      </c>
      <c r="L340" s="2">
        <v>30.41</v>
      </c>
      <c r="M340" s="2">
        <v>1090.75</v>
      </c>
      <c r="N340" s="2">
        <v>759</v>
      </c>
      <c r="O340" s="2">
        <v>282.75</v>
      </c>
      <c r="P340" s="2">
        <v>30.41</v>
      </c>
    </row>
    <row r="341" spans="1:16" x14ac:dyDescent="0.25">
      <c r="A341" t="s">
        <v>15</v>
      </c>
      <c r="B341" t="s">
        <v>379</v>
      </c>
      <c r="C341" t="s">
        <v>187</v>
      </c>
      <c r="D341" t="s">
        <v>543</v>
      </c>
      <c r="E341" t="s">
        <v>19</v>
      </c>
      <c r="F341" t="s">
        <v>544</v>
      </c>
      <c r="G341" s="1">
        <f>45715</f>
        <v>45715</v>
      </c>
      <c r="H341" t="s">
        <v>51</v>
      </c>
      <c r="I341" s="2">
        <v>4340.91</v>
      </c>
      <c r="J341" s="2">
        <v>2371.33</v>
      </c>
      <c r="K341" s="2">
        <v>1969.58</v>
      </c>
      <c r="L341" s="2">
        <v>45.37</v>
      </c>
      <c r="M341" s="2">
        <v>4340.91</v>
      </c>
      <c r="N341" s="2">
        <v>2371.33</v>
      </c>
      <c r="O341" s="2">
        <v>1969.58</v>
      </c>
      <c r="P341" s="2">
        <v>45.37</v>
      </c>
    </row>
    <row r="342" spans="1:16" x14ac:dyDescent="0.25">
      <c r="A342" t="s">
        <v>15</v>
      </c>
      <c r="B342" t="s">
        <v>379</v>
      </c>
      <c r="C342" t="s">
        <v>187</v>
      </c>
      <c r="D342" t="s">
        <v>545</v>
      </c>
      <c r="E342" t="s">
        <v>19</v>
      </c>
      <c r="F342" t="s">
        <v>248</v>
      </c>
      <c r="G342" s="1">
        <f>45716</f>
        <v>45716</v>
      </c>
      <c r="H342" t="s">
        <v>51</v>
      </c>
      <c r="I342" s="2">
        <v>908.7</v>
      </c>
      <c r="J342" s="2">
        <v>545.1</v>
      </c>
      <c r="K342" s="2">
        <v>363.6</v>
      </c>
      <c r="L342" s="2">
        <v>40.01</v>
      </c>
      <c r="M342" s="2">
        <v>908.7</v>
      </c>
      <c r="N342" s="2">
        <v>545.1</v>
      </c>
      <c r="O342" s="2">
        <v>323.60000000000002</v>
      </c>
      <c r="P342" s="2">
        <v>40.01</v>
      </c>
    </row>
    <row r="343" spans="1:16" x14ac:dyDescent="0.25">
      <c r="A343" t="s">
        <v>15</v>
      </c>
      <c r="B343" t="s">
        <v>379</v>
      </c>
      <c r="C343" t="s">
        <v>187</v>
      </c>
      <c r="D343" t="s">
        <v>546</v>
      </c>
      <c r="E343" t="s">
        <v>19</v>
      </c>
      <c r="F343" t="s">
        <v>547</v>
      </c>
      <c r="G343" s="1">
        <f>45716</f>
        <v>45716</v>
      </c>
      <c r="H343" t="s">
        <v>51</v>
      </c>
      <c r="I343" s="2">
        <v>828.7</v>
      </c>
      <c r="J343" s="2">
        <v>580.07000000000005</v>
      </c>
      <c r="K343" s="2">
        <v>248.63</v>
      </c>
      <c r="L343" s="2">
        <v>30</v>
      </c>
      <c r="M343" s="2">
        <v>828.7</v>
      </c>
      <c r="N343" s="2">
        <v>580.07000000000005</v>
      </c>
      <c r="O343" s="2">
        <v>220.63</v>
      </c>
      <c r="P343" s="2">
        <v>30</v>
      </c>
    </row>
    <row r="344" spans="1:16" x14ac:dyDescent="0.25">
      <c r="A344" t="s">
        <v>15</v>
      </c>
      <c r="B344" t="s">
        <v>379</v>
      </c>
      <c r="C344" t="s">
        <v>187</v>
      </c>
      <c r="D344" t="s">
        <v>548</v>
      </c>
      <c r="E344" t="s">
        <v>19</v>
      </c>
      <c r="F344" t="s">
        <v>507</v>
      </c>
      <c r="G344" s="1">
        <f>45716</f>
        <v>45716</v>
      </c>
      <c r="H344" t="s">
        <v>51</v>
      </c>
      <c r="I344" s="2">
        <v>1240.5</v>
      </c>
      <c r="J344" s="2">
        <v>936.97</v>
      </c>
      <c r="K344" s="2">
        <v>303.52999999999997</v>
      </c>
      <c r="L344" s="2">
        <v>24.47</v>
      </c>
      <c r="M344" s="2">
        <v>1240.5</v>
      </c>
      <c r="N344" s="2">
        <v>936.97</v>
      </c>
      <c r="O344" s="2">
        <v>214.92</v>
      </c>
      <c r="P344" s="2">
        <v>24.47</v>
      </c>
    </row>
    <row r="345" spans="1:16" x14ac:dyDescent="0.25">
      <c r="A345" t="s">
        <v>15</v>
      </c>
      <c r="B345" t="s">
        <v>379</v>
      </c>
      <c r="C345" t="s">
        <v>187</v>
      </c>
      <c r="D345" t="s">
        <v>549</v>
      </c>
      <c r="E345" t="s">
        <v>19</v>
      </c>
      <c r="F345" t="s">
        <v>219</v>
      </c>
      <c r="G345" s="1">
        <f>45715</f>
        <v>45715</v>
      </c>
      <c r="H345" t="s">
        <v>51</v>
      </c>
      <c r="I345" s="2">
        <v>174.25</v>
      </c>
      <c r="J345" s="2">
        <v>123.15</v>
      </c>
      <c r="K345" s="2">
        <v>51.1</v>
      </c>
      <c r="L345" s="2">
        <v>29.33</v>
      </c>
      <c r="M345" s="2">
        <v>174.25</v>
      </c>
      <c r="N345" s="2">
        <v>123.15</v>
      </c>
      <c r="O345" s="2">
        <v>39.86</v>
      </c>
      <c r="P345" s="2">
        <v>29.33</v>
      </c>
    </row>
    <row r="346" spans="1:16" x14ac:dyDescent="0.25">
      <c r="A346" t="s">
        <v>15</v>
      </c>
      <c r="B346" t="s">
        <v>379</v>
      </c>
      <c r="C346" t="s">
        <v>187</v>
      </c>
      <c r="D346" t="s">
        <v>550</v>
      </c>
      <c r="E346" t="s">
        <v>47</v>
      </c>
      <c r="F346" t="s">
        <v>248</v>
      </c>
      <c r="G346" s="1">
        <f>45714</f>
        <v>45714</v>
      </c>
      <c r="H346" t="s">
        <v>551</v>
      </c>
      <c r="I346" s="2">
        <v>3081.82</v>
      </c>
      <c r="J346" s="2">
        <v>1935.58</v>
      </c>
      <c r="K346" s="2">
        <v>1146.24</v>
      </c>
      <c r="L346" s="2">
        <v>37.19</v>
      </c>
      <c r="M346" s="2">
        <v>3081.82</v>
      </c>
      <c r="N346" s="2">
        <v>1935.58</v>
      </c>
      <c r="O346" s="2">
        <v>1073.24</v>
      </c>
      <c r="P346" s="2">
        <v>37.19</v>
      </c>
    </row>
    <row r="347" spans="1:16" x14ac:dyDescent="0.25">
      <c r="A347" t="s">
        <v>15</v>
      </c>
      <c r="B347" t="s">
        <v>379</v>
      </c>
      <c r="C347" t="s">
        <v>187</v>
      </c>
      <c r="D347" t="s">
        <v>552</v>
      </c>
      <c r="E347" t="s">
        <v>19</v>
      </c>
      <c r="F347" t="s">
        <v>248</v>
      </c>
      <c r="G347" s="1">
        <f>45715</f>
        <v>45715</v>
      </c>
      <c r="H347" t="s">
        <v>51</v>
      </c>
      <c r="I347" s="2">
        <v>3457.9</v>
      </c>
      <c r="J347" s="2">
        <v>2575.25</v>
      </c>
      <c r="K347" s="2">
        <v>882.65</v>
      </c>
      <c r="L347" s="2">
        <v>25.53</v>
      </c>
      <c r="M347" s="2">
        <v>3457.9</v>
      </c>
      <c r="N347" s="2">
        <v>2940.11</v>
      </c>
      <c r="O347" s="2">
        <v>407.35</v>
      </c>
      <c r="P347" s="2">
        <v>14.97</v>
      </c>
    </row>
    <row r="348" spans="1:16" x14ac:dyDescent="0.25">
      <c r="A348" t="s">
        <v>15</v>
      </c>
      <c r="B348" t="s">
        <v>379</v>
      </c>
      <c r="C348" t="s">
        <v>187</v>
      </c>
      <c r="D348" t="s">
        <v>553</v>
      </c>
      <c r="E348" t="s">
        <v>47</v>
      </c>
      <c r="F348" t="s">
        <v>248</v>
      </c>
      <c r="G348" s="1">
        <f>45695</f>
        <v>45695</v>
      </c>
      <c r="H348" t="s">
        <v>551</v>
      </c>
      <c r="I348" s="2">
        <v>4033.9</v>
      </c>
      <c r="J348" s="2">
        <v>2597.4299999999998</v>
      </c>
      <c r="K348" s="2">
        <v>1436.47</v>
      </c>
      <c r="L348" s="2">
        <v>35.61</v>
      </c>
      <c r="M348" s="2">
        <v>4033.9</v>
      </c>
      <c r="N348" s="2">
        <v>3911.37</v>
      </c>
      <c r="O348" s="2">
        <v>49.53</v>
      </c>
      <c r="P348" s="2">
        <v>3.04</v>
      </c>
    </row>
    <row r="349" spans="1:16" x14ac:dyDescent="0.25">
      <c r="A349" t="s">
        <v>15</v>
      </c>
      <c r="B349" t="s">
        <v>379</v>
      </c>
      <c r="C349" t="s">
        <v>187</v>
      </c>
      <c r="D349" t="s">
        <v>554</v>
      </c>
      <c r="E349" t="s">
        <v>47</v>
      </c>
      <c r="F349" t="s">
        <v>248</v>
      </c>
      <c r="G349" s="1">
        <f>45695</f>
        <v>45695</v>
      </c>
      <c r="H349" t="s">
        <v>551</v>
      </c>
      <c r="I349" s="2">
        <v>3648.47</v>
      </c>
      <c r="J349" s="2">
        <v>2534.7800000000002</v>
      </c>
      <c r="K349" s="2">
        <v>1113.69</v>
      </c>
      <c r="L349" s="2">
        <v>30.52</v>
      </c>
      <c r="M349" s="2">
        <v>3648.47</v>
      </c>
      <c r="N349" s="2">
        <v>2534.7800000000002</v>
      </c>
      <c r="O349" s="2">
        <v>1040.69</v>
      </c>
      <c r="P349" s="2">
        <v>30.52</v>
      </c>
    </row>
    <row r="350" spans="1:16" x14ac:dyDescent="0.25">
      <c r="A350" t="s">
        <v>15</v>
      </c>
      <c r="B350" t="s">
        <v>379</v>
      </c>
      <c r="C350" t="s">
        <v>252</v>
      </c>
      <c r="D350" t="s">
        <v>555</v>
      </c>
      <c r="E350" t="s">
        <v>19</v>
      </c>
      <c r="F350" t="s">
        <v>299</v>
      </c>
      <c r="G350" s="1">
        <f>45707</f>
        <v>45707</v>
      </c>
      <c r="H350" t="s">
        <v>2422</v>
      </c>
      <c r="I350" s="2">
        <v>4490</v>
      </c>
      <c r="J350" s="2">
        <v>1721.1</v>
      </c>
      <c r="K350" s="2">
        <v>2768.9</v>
      </c>
      <c r="L350" s="2">
        <v>61.67</v>
      </c>
      <c r="M350" s="2">
        <v>4490</v>
      </c>
      <c r="N350" s="2">
        <v>1714.78</v>
      </c>
      <c r="O350" s="2">
        <v>1611.68</v>
      </c>
      <c r="P350" s="2">
        <v>61.81</v>
      </c>
    </row>
    <row r="351" spans="1:16" x14ac:dyDescent="0.25">
      <c r="A351" t="s">
        <v>15</v>
      </c>
      <c r="B351" t="s">
        <v>379</v>
      </c>
      <c r="C351" t="s">
        <v>252</v>
      </c>
      <c r="D351" t="s">
        <v>556</v>
      </c>
      <c r="E351" t="s">
        <v>19</v>
      </c>
      <c r="F351" t="s">
        <v>279</v>
      </c>
      <c r="G351" s="1">
        <f>45691</f>
        <v>45691</v>
      </c>
      <c r="H351" t="s">
        <v>2422</v>
      </c>
      <c r="I351" s="2">
        <v>676</v>
      </c>
      <c r="J351" s="2">
        <v>435.64</v>
      </c>
      <c r="K351" s="2">
        <v>240.36</v>
      </c>
      <c r="L351" s="2">
        <v>35.56</v>
      </c>
      <c r="M351" s="2">
        <v>676</v>
      </c>
      <c r="N351" s="2">
        <v>435.64</v>
      </c>
      <c r="O351" s="2">
        <v>212.36</v>
      </c>
      <c r="P351" s="2">
        <v>35.56</v>
      </c>
    </row>
    <row r="352" spans="1:16" x14ac:dyDescent="0.25">
      <c r="A352" t="s">
        <v>15</v>
      </c>
      <c r="B352" t="s">
        <v>379</v>
      </c>
      <c r="C352" t="s">
        <v>252</v>
      </c>
      <c r="D352" t="s">
        <v>557</v>
      </c>
      <c r="E352" t="s">
        <v>19</v>
      </c>
      <c r="F352" t="s">
        <v>292</v>
      </c>
      <c r="G352" s="1">
        <f>45692</f>
        <v>45692</v>
      </c>
      <c r="H352" t="s">
        <v>2422</v>
      </c>
      <c r="I352" s="2">
        <v>932.23</v>
      </c>
      <c r="J352" s="2">
        <v>641.6</v>
      </c>
      <c r="K352" s="2">
        <v>290.63</v>
      </c>
      <c r="L352" s="2">
        <v>31.18</v>
      </c>
      <c r="M352" s="2">
        <v>932.23</v>
      </c>
      <c r="N352" s="2">
        <v>641.6</v>
      </c>
      <c r="O352" s="2">
        <v>246.63</v>
      </c>
      <c r="P352" s="2">
        <v>31.18</v>
      </c>
    </row>
    <row r="353" spans="1:16" x14ac:dyDescent="0.25">
      <c r="A353" t="s">
        <v>15</v>
      </c>
      <c r="B353" t="s">
        <v>379</v>
      </c>
      <c r="C353" t="s">
        <v>252</v>
      </c>
      <c r="D353" t="s">
        <v>558</v>
      </c>
      <c r="E353" t="s">
        <v>19</v>
      </c>
      <c r="F353" t="s">
        <v>276</v>
      </c>
      <c r="G353" s="1">
        <f>45692</f>
        <v>45692</v>
      </c>
      <c r="H353" t="s">
        <v>2422</v>
      </c>
      <c r="I353" s="2">
        <v>587.5</v>
      </c>
      <c r="J353" s="2">
        <v>291.75</v>
      </c>
      <c r="K353" s="2">
        <v>295.75</v>
      </c>
      <c r="L353" s="2">
        <v>50.34</v>
      </c>
      <c r="M353" s="2">
        <v>587.5</v>
      </c>
      <c r="N353" s="2">
        <v>291.75</v>
      </c>
      <c r="O353" s="2">
        <v>261.75</v>
      </c>
      <c r="P353" s="2">
        <v>50.34</v>
      </c>
    </row>
    <row r="354" spans="1:16" x14ac:dyDescent="0.25">
      <c r="A354" t="s">
        <v>15</v>
      </c>
      <c r="B354" t="s">
        <v>379</v>
      </c>
      <c r="C354" t="s">
        <v>252</v>
      </c>
      <c r="D354" t="s">
        <v>559</v>
      </c>
      <c r="E354" t="s">
        <v>19</v>
      </c>
      <c r="F354" t="s">
        <v>281</v>
      </c>
      <c r="G354" s="1">
        <f>45693</f>
        <v>45693</v>
      </c>
      <c r="H354" t="s">
        <v>2422</v>
      </c>
      <c r="I354" s="2">
        <v>6959</v>
      </c>
      <c r="J354" s="2">
        <v>4853.5600000000004</v>
      </c>
      <c r="K354" s="2">
        <v>2105.44</v>
      </c>
      <c r="L354" s="2">
        <v>30.25</v>
      </c>
      <c r="M354" s="2">
        <v>6959</v>
      </c>
      <c r="N354" s="2">
        <v>4853.5600000000004</v>
      </c>
      <c r="O354" s="2">
        <v>1978.28</v>
      </c>
      <c r="P354" s="2">
        <v>30.25</v>
      </c>
    </row>
    <row r="355" spans="1:16" x14ac:dyDescent="0.25">
      <c r="A355" t="s">
        <v>15</v>
      </c>
      <c r="B355" t="s">
        <v>379</v>
      </c>
      <c r="C355" t="s">
        <v>252</v>
      </c>
      <c r="D355" t="s">
        <v>560</v>
      </c>
      <c r="E355" t="s">
        <v>19</v>
      </c>
      <c r="F355" t="s">
        <v>561</v>
      </c>
      <c r="G355" s="1">
        <f>45694</f>
        <v>45694</v>
      </c>
      <c r="H355" t="s">
        <v>2422</v>
      </c>
      <c r="I355" s="2">
        <v>924</v>
      </c>
      <c r="J355" s="2">
        <v>759</v>
      </c>
      <c r="K355" s="2">
        <v>165</v>
      </c>
      <c r="L355" s="2">
        <v>17.86</v>
      </c>
      <c r="M355" s="2">
        <v>924</v>
      </c>
      <c r="N355" s="2">
        <v>759</v>
      </c>
      <c r="O355" s="2">
        <v>126</v>
      </c>
      <c r="P355" s="2">
        <v>17.86</v>
      </c>
    </row>
    <row r="356" spans="1:16" x14ac:dyDescent="0.25">
      <c r="A356" t="s">
        <v>15</v>
      </c>
      <c r="B356" t="s">
        <v>379</v>
      </c>
      <c r="C356" t="s">
        <v>252</v>
      </c>
      <c r="D356" t="s">
        <v>562</v>
      </c>
      <c r="E356" t="s">
        <v>19</v>
      </c>
      <c r="F356" t="s">
        <v>563</v>
      </c>
      <c r="G356" s="1">
        <f>45694</f>
        <v>45694</v>
      </c>
      <c r="H356" t="s">
        <v>2422</v>
      </c>
      <c r="I356" s="2">
        <v>347.5</v>
      </c>
      <c r="J356" s="2">
        <v>216.23</v>
      </c>
      <c r="K356" s="2">
        <v>131.27000000000001</v>
      </c>
      <c r="L356" s="2">
        <v>37.78</v>
      </c>
      <c r="M356" s="2">
        <v>347.5</v>
      </c>
      <c r="N356" s="2">
        <v>216.23</v>
      </c>
      <c r="O356" s="2">
        <v>124.54</v>
      </c>
      <c r="P356" s="2">
        <v>37.78</v>
      </c>
    </row>
    <row r="357" spans="1:16" x14ac:dyDescent="0.25">
      <c r="A357" t="s">
        <v>15</v>
      </c>
      <c r="B357" t="s">
        <v>379</v>
      </c>
      <c r="C357" t="s">
        <v>252</v>
      </c>
      <c r="D357" t="s">
        <v>564</v>
      </c>
      <c r="E357" t="s">
        <v>19</v>
      </c>
      <c r="F357" t="s">
        <v>565</v>
      </c>
      <c r="G357" s="1">
        <f>45694</f>
        <v>45694</v>
      </c>
      <c r="H357" t="s">
        <v>2422</v>
      </c>
      <c r="I357" s="2">
        <v>939</v>
      </c>
      <c r="J357" s="2">
        <v>691.5</v>
      </c>
      <c r="K357" s="2">
        <v>247.5</v>
      </c>
      <c r="L357" s="2">
        <v>26.36</v>
      </c>
      <c r="M357" s="2">
        <v>939</v>
      </c>
      <c r="N357" s="2">
        <v>691.5</v>
      </c>
      <c r="O357" s="2">
        <v>238.5</v>
      </c>
      <c r="P357" s="2">
        <v>26.36</v>
      </c>
    </row>
    <row r="358" spans="1:16" x14ac:dyDescent="0.25">
      <c r="A358" t="s">
        <v>15</v>
      </c>
      <c r="B358" t="s">
        <v>379</v>
      </c>
      <c r="C358" t="s">
        <v>252</v>
      </c>
      <c r="D358" t="s">
        <v>566</v>
      </c>
      <c r="E358" t="s">
        <v>19</v>
      </c>
      <c r="F358" t="s">
        <v>254</v>
      </c>
      <c r="G358" s="1">
        <f>45694</f>
        <v>45694</v>
      </c>
      <c r="H358" t="s">
        <v>2422</v>
      </c>
      <c r="I358" s="2">
        <v>333</v>
      </c>
      <c r="J358" s="2">
        <v>227.05</v>
      </c>
      <c r="K358" s="2">
        <v>105.95</v>
      </c>
      <c r="L358" s="2">
        <v>31.82</v>
      </c>
      <c r="M358" s="2">
        <v>307</v>
      </c>
      <c r="N358" s="2">
        <v>201.05</v>
      </c>
      <c r="O358" s="2">
        <v>86.84</v>
      </c>
      <c r="P358" s="2">
        <v>34.51</v>
      </c>
    </row>
    <row r="359" spans="1:16" x14ac:dyDescent="0.25">
      <c r="A359" t="s">
        <v>15</v>
      </c>
      <c r="B359" t="s">
        <v>379</v>
      </c>
      <c r="C359" t="s">
        <v>252</v>
      </c>
      <c r="D359" t="s">
        <v>567</v>
      </c>
      <c r="E359" t="s">
        <v>19</v>
      </c>
      <c r="F359" t="s">
        <v>276</v>
      </c>
      <c r="G359" s="1">
        <f>45695</f>
        <v>45695</v>
      </c>
      <c r="H359" t="s">
        <v>2422</v>
      </c>
      <c r="I359" s="2">
        <v>360.3</v>
      </c>
      <c r="J359" s="2">
        <v>245.41</v>
      </c>
      <c r="K359" s="2">
        <v>114.89</v>
      </c>
      <c r="L359" s="2">
        <v>31.89</v>
      </c>
      <c r="M359" s="2">
        <v>360.3</v>
      </c>
      <c r="N359" s="2">
        <v>245.41</v>
      </c>
      <c r="O359" s="2">
        <v>74.89</v>
      </c>
      <c r="P359" s="2">
        <v>31.89</v>
      </c>
    </row>
    <row r="360" spans="1:16" x14ac:dyDescent="0.25">
      <c r="A360" t="s">
        <v>15</v>
      </c>
      <c r="B360" t="s">
        <v>379</v>
      </c>
      <c r="C360" t="s">
        <v>252</v>
      </c>
      <c r="D360" t="s">
        <v>568</v>
      </c>
      <c r="E360" t="s">
        <v>19</v>
      </c>
      <c r="F360" t="s">
        <v>290</v>
      </c>
      <c r="G360" s="1">
        <f>45695</f>
        <v>45695</v>
      </c>
      <c r="H360" t="s">
        <v>2422</v>
      </c>
      <c r="I360" s="2">
        <v>3471.8</v>
      </c>
      <c r="J360" s="2">
        <v>2430.1999999999998</v>
      </c>
      <c r="K360" s="2">
        <v>1041.5999999999999</v>
      </c>
      <c r="L360" s="2">
        <v>30</v>
      </c>
      <c r="M360" s="2">
        <v>3471.8</v>
      </c>
      <c r="N360" s="2">
        <v>2430.1999999999998</v>
      </c>
      <c r="O360" s="2">
        <v>983.6</v>
      </c>
      <c r="P360" s="2">
        <v>30</v>
      </c>
    </row>
    <row r="361" spans="1:16" x14ac:dyDescent="0.25">
      <c r="A361" t="s">
        <v>15</v>
      </c>
      <c r="B361" t="s">
        <v>379</v>
      </c>
      <c r="C361" t="s">
        <v>252</v>
      </c>
      <c r="D361" t="s">
        <v>569</v>
      </c>
      <c r="E361" t="s">
        <v>47</v>
      </c>
      <c r="F361" t="s">
        <v>290</v>
      </c>
      <c r="G361" s="1">
        <f>45695</f>
        <v>45695</v>
      </c>
      <c r="H361" t="s">
        <v>2422</v>
      </c>
      <c r="I361" s="2">
        <v>1235.8</v>
      </c>
      <c r="J361" s="2">
        <v>818</v>
      </c>
      <c r="K361" s="2">
        <v>417.8</v>
      </c>
      <c r="L361" s="2">
        <v>33.81</v>
      </c>
      <c r="M361" s="2">
        <v>1235.8</v>
      </c>
      <c r="N361" s="2">
        <v>818</v>
      </c>
      <c r="O361" s="2">
        <v>365.8</v>
      </c>
      <c r="P361" s="2">
        <v>33.81</v>
      </c>
    </row>
    <row r="362" spans="1:16" x14ac:dyDescent="0.25">
      <c r="A362" t="s">
        <v>15</v>
      </c>
      <c r="B362" t="s">
        <v>379</v>
      </c>
      <c r="C362" t="s">
        <v>252</v>
      </c>
      <c r="D362" t="s">
        <v>570</v>
      </c>
      <c r="E362" t="s">
        <v>19</v>
      </c>
      <c r="F362" t="s">
        <v>279</v>
      </c>
      <c r="G362" s="1">
        <f>45698</f>
        <v>45698</v>
      </c>
      <c r="H362" t="s">
        <v>2422</v>
      </c>
      <c r="I362" s="2">
        <v>2148.9</v>
      </c>
      <c r="J362" s="2">
        <v>1566.35</v>
      </c>
      <c r="K362" s="2">
        <v>582.54999999999995</v>
      </c>
      <c r="L362" s="2">
        <v>27.11</v>
      </c>
      <c r="M362" s="2">
        <v>2148.9</v>
      </c>
      <c r="N362" s="2">
        <v>1566.35</v>
      </c>
      <c r="O362" s="2">
        <v>532.54999999999995</v>
      </c>
      <c r="P362" s="2">
        <v>27.11</v>
      </c>
    </row>
    <row r="363" spans="1:16" x14ac:dyDescent="0.25">
      <c r="A363" t="s">
        <v>15</v>
      </c>
      <c r="B363" t="s">
        <v>379</v>
      </c>
      <c r="C363" t="s">
        <v>252</v>
      </c>
      <c r="D363" t="s">
        <v>571</v>
      </c>
      <c r="E363" t="s">
        <v>19</v>
      </c>
      <c r="F363" t="s">
        <v>572</v>
      </c>
      <c r="G363" s="1">
        <f>45698</f>
        <v>45698</v>
      </c>
      <c r="H363" t="s">
        <v>2422</v>
      </c>
      <c r="I363" s="2">
        <v>1080</v>
      </c>
      <c r="J363" s="2">
        <v>754.09</v>
      </c>
      <c r="K363" s="2">
        <v>325.91000000000003</v>
      </c>
      <c r="L363" s="2">
        <v>30.18</v>
      </c>
      <c r="M363" s="2">
        <v>1080</v>
      </c>
      <c r="N363" s="2">
        <v>754.09</v>
      </c>
      <c r="O363" s="2">
        <v>234.33</v>
      </c>
      <c r="P363" s="2">
        <v>30.18</v>
      </c>
    </row>
    <row r="364" spans="1:16" x14ac:dyDescent="0.25">
      <c r="A364" t="s">
        <v>15</v>
      </c>
      <c r="B364" t="s">
        <v>379</v>
      </c>
      <c r="C364" t="s">
        <v>252</v>
      </c>
      <c r="D364" t="s">
        <v>573</v>
      </c>
      <c r="E364" t="s">
        <v>19</v>
      </c>
      <c r="F364" t="s">
        <v>574</v>
      </c>
      <c r="G364" s="1">
        <f>45699</f>
        <v>45699</v>
      </c>
      <c r="H364" t="s">
        <v>2422</v>
      </c>
      <c r="I364" s="2">
        <v>677.55</v>
      </c>
      <c r="J364" s="2">
        <v>414.8</v>
      </c>
      <c r="K364" s="2">
        <v>262.75</v>
      </c>
      <c r="L364" s="2">
        <v>38.78</v>
      </c>
      <c r="M364" s="2">
        <v>677.55</v>
      </c>
      <c r="N364" s="2">
        <v>414.8</v>
      </c>
      <c r="O364" s="2">
        <v>242.75</v>
      </c>
      <c r="P364" s="2">
        <v>38.78</v>
      </c>
    </row>
    <row r="365" spans="1:16" x14ac:dyDescent="0.25">
      <c r="A365" t="s">
        <v>15</v>
      </c>
      <c r="B365" t="s">
        <v>379</v>
      </c>
      <c r="C365" t="s">
        <v>252</v>
      </c>
      <c r="D365" t="s">
        <v>575</v>
      </c>
      <c r="E365" t="s">
        <v>47</v>
      </c>
      <c r="F365" t="s">
        <v>576</v>
      </c>
      <c r="G365" s="1">
        <f>45700</f>
        <v>45700</v>
      </c>
      <c r="H365" t="s">
        <v>2422</v>
      </c>
      <c r="I365" s="2">
        <v>394.6</v>
      </c>
      <c r="J365" s="2">
        <v>275.89999999999998</v>
      </c>
      <c r="K365" s="2">
        <v>118.7</v>
      </c>
      <c r="L365" s="2">
        <v>30.08</v>
      </c>
      <c r="M365" s="2">
        <v>394.6</v>
      </c>
      <c r="N365" s="2">
        <v>275.89999999999998</v>
      </c>
      <c r="O365" s="2">
        <v>74.7</v>
      </c>
      <c r="P365" s="2">
        <v>30.08</v>
      </c>
    </row>
    <row r="366" spans="1:16" x14ac:dyDescent="0.25">
      <c r="A366" t="s">
        <v>15</v>
      </c>
      <c r="B366" t="s">
        <v>379</v>
      </c>
      <c r="C366" t="s">
        <v>252</v>
      </c>
      <c r="D366" t="s">
        <v>577</v>
      </c>
      <c r="E366" t="s">
        <v>19</v>
      </c>
      <c r="F366" t="s">
        <v>265</v>
      </c>
      <c r="G366" s="1">
        <f>45700</f>
        <v>45700</v>
      </c>
      <c r="H366" t="s">
        <v>2422</v>
      </c>
      <c r="I366" s="2">
        <v>290.45</v>
      </c>
      <c r="J366" s="2">
        <v>233.8</v>
      </c>
      <c r="K366" s="2">
        <v>56.65</v>
      </c>
      <c r="L366" s="2">
        <v>19.5</v>
      </c>
      <c r="M366" s="2">
        <v>290.45</v>
      </c>
      <c r="N366" s="2">
        <v>265.10000000000002</v>
      </c>
      <c r="O366" s="2">
        <v>-59.25</v>
      </c>
      <c r="P366" s="2">
        <v>8.73</v>
      </c>
    </row>
    <row r="367" spans="1:16" x14ac:dyDescent="0.25">
      <c r="A367" t="s">
        <v>15</v>
      </c>
      <c r="B367" t="s">
        <v>379</v>
      </c>
      <c r="C367" t="s">
        <v>252</v>
      </c>
      <c r="D367" t="s">
        <v>578</v>
      </c>
      <c r="E367" t="s">
        <v>19</v>
      </c>
      <c r="F367" t="s">
        <v>579</v>
      </c>
      <c r="G367" s="1">
        <f>45700</f>
        <v>45700</v>
      </c>
      <c r="H367" t="s">
        <v>2422</v>
      </c>
      <c r="I367" s="2">
        <v>3703.5</v>
      </c>
      <c r="J367" s="2">
        <v>2661.72</v>
      </c>
      <c r="K367" s="2">
        <v>1041.78</v>
      </c>
      <c r="L367" s="2">
        <v>28.13</v>
      </c>
      <c r="M367" s="2">
        <v>3703.5</v>
      </c>
      <c r="N367" s="2">
        <v>2661.72</v>
      </c>
      <c r="O367" s="2">
        <v>976.86</v>
      </c>
      <c r="P367" s="2">
        <v>28.13</v>
      </c>
    </row>
    <row r="368" spans="1:16" x14ac:dyDescent="0.25">
      <c r="A368" t="s">
        <v>15</v>
      </c>
      <c r="B368" t="s">
        <v>379</v>
      </c>
      <c r="C368" t="s">
        <v>252</v>
      </c>
      <c r="D368" t="s">
        <v>580</v>
      </c>
      <c r="E368" t="s">
        <v>47</v>
      </c>
      <c r="F368" t="s">
        <v>581</v>
      </c>
      <c r="G368" s="1">
        <f>45701</f>
        <v>45701</v>
      </c>
      <c r="H368" t="s">
        <v>2422</v>
      </c>
      <c r="I368" s="2">
        <v>6108.2</v>
      </c>
      <c r="J368" s="2">
        <v>4449.76</v>
      </c>
      <c r="K368" s="2">
        <v>1658.44</v>
      </c>
      <c r="L368" s="2">
        <v>27.15</v>
      </c>
      <c r="M368" s="2">
        <v>6108.2</v>
      </c>
      <c r="N368" s="2">
        <v>4398.8599999999997</v>
      </c>
      <c r="O368" s="2">
        <v>1634.34</v>
      </c>
      <c r="P368" s="2">
        <v>27.98</v>
      </c>
    </row>
    <row r="369" spans="1:16" x14ac:dyDescent="0.25">
      <c r="A369" t="s">
        <v>15</v>
      </c>
      <c r="B369" t="s">
        <v>379</v>
      </c>
      <c r="C369" t="s">
        <v>252</v>
      </c>
      <c r="D369" t="s">
        <v>582</v>
      </c>
      <c r="E369" t="s">
        <v>47</v>
      </c>
      <c r="F369" t="s">
        <v>574</v>
      </c>
      <c r="G369" s="1">
        <f>45701</f>
        <v>45701</v>
      </c>
      <c r="H369" t="s">
        <v>2422</v>
      </c>
      <c r="I369" s="2">
        <v>560.4</v>
      </c>
      <c r="J369" s="2">
        <v>376.8</v>
      </c>
      <c r="K369" s="2">
        <v>183.6</v>
      </c>
      <c r="L369" s="2">
        <v>32.76</v>
      </c>
      <c r="M369" s="2">
        <v>560.4</v>
      </c>
      <c r="N369" s="2">
        <v>376.8</v>
      </c>
      <c r="O369" s="2">
        <v>92.84</v>
      </c>
      <c r="P369" s="2">
        <v>32.76</v>
      </c>
    </row>
    <row r="370" spans="1:16" x14ac:dyDescent="0.25">
      <c r="A370" t="s">
        <v>15</v>
      </c>
      <c r="B370" t="s">
        <v>379</v>
      </c>
      <c r="C370" t="s">
        <v>252</v>
      </c>
      <c r="D370" t="s">
        <v>583</v>
      </c>
      <c r="E370" t="s">
        <v>47</v>
      </c>
      <c r="F370" t="s">
        <v>265</v>
      </c>
      <c r="G370" s="1">
        <f>45702</f>
        <v>45702</v>
      </c>
      <c r="H370" t="s">
        <v>2422</v>
      </c>
      <c r="I370" s="2">
        <v>13700</v>
      </c>
      <c r="J370" s="2">
        <v>9274</v>
      </c>
      <c r="K370" s="2">
        <v>4426</v>
      </c>
      <c r="L370" s="2">
        <v>32.31</v>
      </c>
      <c r="M370" s="2">
        <v>13700</v>
      </c>
      <c r="N370" s="2">
        <v>9274</v>
      </c>
      <c r="O370" s="2">
        <v>4426</v>
      </c>
      <c r="P370" s="2">
        <v>32.31</v>
      </c>
    </row>
    <row r="371" spans="1:16" x14ac:dyDescent="0.25">
      <c r="A371" t="s">
        <v>15</v>
      </c>
      <c r="B371" t="s">
        <v>379</v>
      </c>
      <c r="C371" t="s">
        <v>252</v>
      </c>
      <c r="D371" t="s">
        <v>584</v>
      </c>
      <c r="E371" t="s">
        <v>19</v>
      </c>
      <c r="F371" t="s">
        <v>585</v>
      </c>
      <c r="G371" s="1">
        <f>45702</f>
        <v>45702</v>
      </c>
      <c r="H371" t="s">
        <v>2422</v>
      </c>
      <c r="I371" s="2">
        <v>2178.8000000000002</v>
      </c>
      <c r="J371" s="2">
        <v>1442.5</v>
      </c>
      <c r="K371" s="2">
        <v>736.3</v>
      </c>
      <c r="L371" s="2">
        <v>33.79</v>
      </c>
      <c r="M371" s="2">
        <v>2178.8000000000002</v>
      </c>
      <c r="N371" s="2">
        <v>1442.5</v>
      </c>
      <c r="O371" s="2">
        <v>661.3</v>
      </c>
      <c r="P371" s="2">
        <v>33.79</v>
      </c>
    </row>
    <row r="372" spans="1:16" x14ac:dyDescent="0.25">
      <c r="A372" t="s">
        <v>15</v>
      </c>
      <c r="B372" t="s">
        <v>379</v>
      </c>
      <c r="C372" t="s">
        <v>252</v>
      </c>
      <c r="D372" t="s">
        <v>586</v>
      </c>
      <c r="E372" t="s">
        <v>47</v>
      </c>
      <c r="F372" t="s">
        <v>587</v>
      </c>
      <c r="G372" s="1">
        <f>45705</f>
        <v>45705</v>
      </c>
      <c r="H372" t="s">
        <v>2422</v>
      </c>
      <c r="I372" s="2">
        <v>13776.8</v>
      </c>
      <c r="J372" s="2">
        <v>10187.59</v>
      </c>
      <c r="K372" s="2">
        <v>3589.21</v>
      </c>
      <c r="L372" s="2">
        <v>26.05</v>
      </c>
      <c r="M372" s="2">
        <v>13776.8</v>
      </c>
      <c r="N372" s="2">
        <v>10187.68</v>
      </c>
      <c r="O372" s="2">
        <v>3472.12</v>
      </c>
      <c r="P372" s="2">
        <v>26.05</v>
      </c>
    </row>
    <row r="373" spans="1:16" x14ac:dyDescent="0.25">
      <c r="A373" t="s">
        <v>15</v>
      </c>
      <c r="B373" t="s">
        <v>379</v>
      </c>
      <c r="C373" t="s">
        <v>252</v>
      </c>
      <c r="D373" t="s">
        <v>588</v>
      </c>
      <c r="E373" t="s">
        <v>47</v>
      </c>
      <c r="F373" t="s">
        <v>295</v>
      </c>
      <c r="G373" s="1">
        <f>45707</f>
        <v>45707</v>
      </c>
      <c r="H373" t="s">
        <v>2422</v>
      </c>
      <c r="I373" s="2">
        <v>157.08000000000001</v>
      </c>
      <c r="J373" s="2">
        <v>83.2</v>
      </c>
      <c r="K373" s="2">
        <v>73.88</v>
      </c>
      <c r="L373" s="2">
        <v>47.03</v>
      </c>
      <c r="M373" s="2">
        <v>157.08000000000001</v>
      </c>
      <c r="N373" s="2">
        <v>83.2</v>
      </c>
      <c r="O373" s="2">
        <v>63.88</v>
      </c>
      <c r="P373" s="2">
        <v>47.03</v>
      </c>
    </row>
    <row r="374" spans="1:16" x14ac:dyDescent="0.25">
      <c r="A374" t="s">
        <v>15</v>
      </c>
      <c r="B374" t="s">
        <v>379</v>
      </c>
      <c r="C374" t="s">
        <v>252</v>
      </c>
      <c r="D374" t="s">
        <v>589</v>
      </c>
      <c r="E374" t="s">
        <v>47</v>
      </c>
      <c r="F374" t="s">
        <v>295</v>
      </c>
      <c r="G374" s="1">
        <f>45708</f>
        <v>45708</v>
      </c>
      <c r="H374" t="s">
        <v>2422</v>
      </c>
      <c r="I374" s="2">
        <v>617</v>
      </c>
      <c r="J374" s="2">
        <v>403.01</v>
      </c>
      <c r="K374" s="2">
        <v>213.99</v>
      </c>
      <c r="L374" s="2">
        <v>34.68</v>
      </c>
      <c r="M374" s="2">
        <v>617</v>
      </c>
      <c r="N374" s="2">
        <v>403.01</v>
      </c>
      <c r="O374" s="2">
        <v>174.99</v>
      </c>
      <c r="P374" s="2">
        <v>34.68</v>
      </c>
    </row>
    <row r="375" spans="1:16" x14ac:dyDescent="0.25">
      <c r="A375" t="s">
        <v>15</v>
      </c>
      <c r="B375" t="s">
        <v>379</v>
      </c>
      <c r="C375" t="s">
        <v>252</v>
      </c>
      <c r="D375" t="s">
        <v>590</v>
      </c>
      <c r="E375" t="s">
        <v>19</v>
      </c>
      <c r="F375" t="s">
        <v>290</v>
      </c>
      <c r="G375" s="1">
        <f>45708</f>
        <v>45708</v>
      </c>
      <c r="H375" t="s">
        <v>2422</v>
      </c>
      <c r="I375" s="2">
        <v>513.1</v>
      </c>
      <c r="J375" s="2">
        <v>330.85</v>
      </c>
      <c r="K375" s="2">
        <v>182.25</v>
      </c>
      <c r="L375" s="2">
        <v>35.520000000000003</v>
      </c>
      <c r="M375" s="2">
        <v>513.1</v>
      </c>
      <c r="N375" s="2">
        <v>330.85</v>
      </c>
      <c r="O375" s="2">
        <v>154.25</v>
      </c>
      <c r="P375" s="2">
        <v>35.520000000000003</v>
      </c>
    </row>
    <row r="376" spans="1:16" x14ac:dyDescent="0.25">
      <c r="A376" t="s">
        <v>15</v>
      </c>
      <c r="B376" t="s">
        <v>379</v>
      </c>
      <c r="C376" t="s">
        <v>252</v>
      </c>
      <c r="D376" t="s">
        <v>591</v>
      </c>
      <c r="E376" t="s">
        <v>19</v>
      </c>
      <c r="F376" t="s">
        <v>292</v>
      </c>
      <c r="G376" s="1">
        <f>45708</f>
        <v>45708</v>
      </c>
      <c r="H376" t="s">
        <v>2422</v>
      </c>
      <c r="I376" s="2">
        <v>1910.3</v>
      </c>
      <c r="J376" s="2">
        <v>1309.3</v>
      </c>
      <c r="K376" s="2">
        <v>601</v>
      </c>
      <c r="L376" s="2">
        <v>31.46</v>
      </c>
      <c r="M376" s="2">
        <v>1910.3</v>
      </c>
      <c r="N376" s="2">
        <v>1309.3</v>
      </c>
      <c r="O376" s="2">
        <v>551</v>
      </c>
      <c r="P376" s="2">
        <v>31.46</v>
      </c>
    </row>
    <row r="377" spans="1:16" x14ac:dyDescent="0.25">
      <c r="A377" t="s">
        <v>15</v>
      </c>
      <c r="B377" t="s">
        <v>379</v>
      </c>
      <c r="C377" t="s">
        <v>252</v>
      </c>
      <c r="D377" t="s">
        <v>592</v>
      </c>
      <c r="E377" t="s">
        <v>19</v>
      </c>
      <c r="F377" t="s">
        <v>279</v>
      </c>
      <c r="G377" s="1">
        <f>45708</f>
        <v>45708</v>
      </c>
      <c r="H377" t="s">
        <v>2422</v>
      </c>
      <c r="I377" s="2">
        <v>1411</v>
      </c>
      <c r="J377" s="2">
        <v>979.5</v>
      </c>
      <c r="K377" s="2">
        <v>431.5</v>
      </c>
      <c r="L377" s="2">
        <v>30.58</v>
      </c>
      <c r="M377" s="2">
        <v>1411</v>
      </c>
      <c r="N377" s="2">
        <v>979.5</v>
      </c>
      <c r="O377" s="2">
        <v>381.5</v>
      </c>
      <c r="P377" s="2">
        <v>30.58</v>
      </c>
    </row>
    <row r="378" spans="1:16" x14ac:dyDescent="0.25">
      <c r="A378" t="s">
        <v>15</v>
      </c>
      <c r="B378" t="s">
        <v>379</v>
      </c>
      <c r="C378" t="s">
        <v>252</v>
      </c>
      <c r="D378" t="s">
        <v>593</v>
      </c>
      <c r="E378" t="s">
        <v>19</v>
      </c>
      <c r="F378" t="s">
        <v>563</v>
      </c>
      <c r="G378" s="1">
        <f>45713</f>
        <v>45713</v>
      </c>
      <c r="H378" t="s">
        <v>56</v>
      </c>
      <c r="I378" s="2">
        <v>198.8</v>
      </c>
      <c r="J378" s="2">
        <v>94.35</v>
      </c>
      <c r="K378" s="2">
        <v>104.45</v>
      </c>
      <c r="L378" s="2">
        <v>52.54</v>
      </c>
      <c r="M378" s="2">
        <v>198.8</v>
      </c>
      <c r="N378" s="2">
        <v>94.35</v>
      </c>
      <c r="O378" s="2">
        <v>83.1</v>
      </c>
      <c r="P378" s="2">
        <v>52.54</v>
      </c>
    </row>
    <row r="379" spans="1:16" x14ac:dyDescent="0.25">
      <c r="A379" t="s">
        <v>15</v>
      </c>
      <c r="B379" t="s">
        <v>379</v>
      </c>
      <c r="C379" t="s">
        <v>252</v>
      </c>
      <c r="D379" t="s">
        <v>594</v>
      </c>
      <c r="E379" t="s">
        <v>19</v>
      </c>
      <c r="F379" t="s">
        <v>574</v>
      </c>
      <c r="G379" s="1">
        <f>45714</f>
        <v>45714</v>
      </c>
      <c r="H379" t="s">
        <v>51</v>
      </c>
      <c r="I379" s="2">
        <v>264</v>
      </c>
      <c r="J379" s="2">
        <v>170.5</v>
      </c>
      <c r="K379" s="2">
        <v>93.5</v>
      </c>
      <c r="L379" s="2">
        <v>35.42</v>
      </c>
      <c r="M379" s="2">
        <v>264</v>
      </c>
      <c r="N379" s="2">
        <v>170.51</v>
      </c>
      <c r="O379" s="2">
        <v>64.489999999999995</v>
      </c>
      <c r="P379" s="2">
        <v>35.409999999999997</v>
      </c>
    </row>
    <row r="380" spans="1:16" x14ac:dyDescent="0.25">
      <c r="A380" t="s">
        <v>15</v>
      </c>
      <c r="B380" t="s">
        <v>379</v>
      </c>
      <c r="C380" t="s">
        <v>252</v>
      </c>
      <c r="D380" t="s">
        <v>595</v>
      </c>
      <c r="E380" t="s">
        <v>19</v>
      </c>
      <c r="F380" t="s">
        <v>256</v>
      </c>
      <c r="G380" s="1">
        <f>45715</f>
        <v>45715</v>
      </c>
      <c r="H380" t="s">
        <v>2422</v>
      </c>
      <c r="I380" s="2">
        <v>2293.35</v>
      </c>
      <c r="J380" s="2">
        <v>1289.76</v>
      </c>
      <c r="K380" s="2">
        <v>1003.59</v>
      </c>
      <c r="L380" s="2">
        <v>43.76</v>
      </c>
      <c r="M380" s="2">
        <v>2293.35</v>
      </c>
      <c r="N380" s="2">
        <v>1569.68</v>
      </c>
      <c r="O380" s="2">
        <v>691.67</v>
      </c>
      <c r="P380" s="2">
        <v>31.56</v>
      </c>
    </row>
    <row r="381" spans="1:16" x14ac:dyDescent="0.25">
      <c r="A381" t="s">
        <v>15</v>
      </c>
      <c r="B381" t="s">
        <v>379</v>
      </c>
      <c r="C381" t="s">
        <v>252</v>
      </c>
      <c r="D381" t="s">
        <v>596</v>
      </c>
      <c r="E381" t="s">
        <v>19</v>
      </c>
      <c r="F381" t="s">
        <v>292</v>
      </c>
      <c r="G381" s="1">
        <f>45716</f>
        <v>45716</v>
      </c>
      <c r="H381" t="s">
        <v>2422</v>
      </c>
      <c r="I381" s="2">
        <v>3272.6</v>
      </c>
      <c r="J381" s="2">
        <v>2013.71</v>
      </c>
      <c r="K381" s="2">
        <v>1258.8900000000001</v>
      </c>
      <c r="L381" s="2">
        <v>38.47</v>
      </c>
      <c r="M381" s="2">
        <v>3272.6</v>
      </c>
      <c r="N381" s="2">
        <v>2014.02</v>
      </c>
      <c r="O381" s="2">
        <v>1212.58</v>
      </c>
      <c r="P381" s="2">
        <v>38.46</v>
      </c>
    </row>
    <row r="382" spans="1:16" x14ac:dyDescent="0.25">
      <c r="A382" t="s">
        <v>15</v>
      </c>
      <c r="B382" t="s">
        <v>379</v>
      </c>
      <c r="C382" t="s">
        <v>252</v>
      </c>
      <c r="D382" t="s">
        <v>597</v>
      </c>
      <c r="E382" t="s">
        <v>47</v>
      </c>
      <c r="F382" t="s">
        <v>279</v>
      </c>
      <c r="G382" s="1">
        <f>45716</f>
        <v>45716</v>
      </c>
      <c r="H382" t="s">
        <v>2422</v>
      </c>
      <c r="I382" s="2">
        <v>1357.9</v>
      </c>
      <c r="J382" s="2">
        <v>779.67</v>
      </c>
      <c r="K382" s="2">
        <v>578.23</v>
      </c>
      <c r="L382" s="2">
        <v>42.58</v>
      </c>
      <c r="M382" s="2">
        <v>1357.9</v>
      </c>
      <c r="N382" s="2">
        <v>779.67</v>
      </c>
      <c r="O382" s="2">
        <v>550.23</v>
      </c>
      <c r="P382" s="2">
        <v>42.58</v>
      </c>
    </row>
    <row r="383" spans="1:16" x14ac:dyDescent="0.25">
      <c r="A383" t="s">
        <v>15</v>
      </c>
      <c r="B383" t="s">
        <v>379</v>
      </c>
      <c r="C383" t="s">
        <v>17</v>
      </c>
      <c r="D383" t="s">
        <v>598</v>
      </c>
      <c r="E383" t="s">
        <v>19</v>
      </c>
      <c r="F383" t="s">
        <v>316</v>
      </c>
      <c r="G383" s="1">
        <f>45691</f>
        <v>45691</v>
      </c>
      <c r="H383" t="s">
        <v>2422</v>
      </c>
      <c r="I383" s="2">
        <v>1050.7</v>
      </c>
      <c r="J383" s="2">
        <v>729</v>
      </c>
      <c r="K383" s="2">
        <v>321.7</v>
      </c>
      <c r="L383" s="2">
        <v>30.62</v>
      </c>
      <c r="M383" s="2">
        <v>1050.7</v>
      </c>
      <c r="N383" s="2">
        <v>729</v>
      </c>
      <c r="O383" s="2">
        <v>312.7</v>
      </c>
      <c r="P383" s="2">
        <v>30.62</v>
      </c>
    </row>
    <row r="384" spans="1:16" x14ac:dyDescent="0.25">
      <c r="A384" t="s">
        <v>15</v>
      </c>
      <c r="B384" t="s">
        <v>379</v>
      </c>
      <c r="C384" t="s">
        <v>17</v>
      </c>
      <c r="D384" t="s">
        <v>599</v>
      </c>
      <c r="E384" t="s">
        <v>19</v>
      </c>
      <c r="F384" t="s">
        <v>359</v>
      </c>
      <c r="G384" s="1">
        <f>45691</f>
        <v>45691</v>
      </c>
      <c r="H384" t="s">
        <v>2422</v>
      </c>
      <c r="I384" s="2">
        <v>342.86</v>
      </c>
      <c r="J384" s="2">
        <v>249.52</v>
      </c>
      <c r="K384" s="2">
        <v>93.34</v>
      </c>
      <c r="L384" s="2">
        <v>27.22</v>
      </c>
      <c r="M384" s="2">
        <v>342.86</v>
      </c>
      <c r="N384" s="2">
        <v>254.24</v>
      </c>
      <c r="O384" s="2">
        <v>74.98</v>
      </c>
      <c r="P384" s="2">
        <v>25.85</v>
      </c>
    </row>
    <row r="385" spans="1:16" x14ac:dyDescent="0.25">
      <c r="A385" t="s">
        <v>15</v>
      </c>
      <c r="B385" t="s">
        <v>379</v>
      </c>
      <c r="C385" t="s">
        <v>17</v>
      </c>
      <c r="D385" t="s">
        <v>600</v>
      </c>
      <c r="E385" t="s">
        <v>47</v>
      </c>
      <c r="F385" t="s">
        <v>339</v>
      </c>
      <c r="G385" s="1">
        <f>45691</f>
        <v>45691</v>
      </c>
      <c r="H385" t="s">
        <v>84</v>
      </c>
      <c r="I385" s="2">
        <v>0</v>
      </c>
      <c r="J385" s="2">
        <v>0</v>
      </c>
      <c r="K385" s="2">
        <v>0</v>
      </c>
      <c r="L385" s="2">
        <v>0</v>
      </c>
      <c r="M385" s="2">
        <v>11.22</v>
      </c>
      <c r="N385" s="2">
        <v>6.6</v>
      </c>
      <c r="O385" s="2">
        <v>4.62</v>
      </c>
      <c r="P385" s="2">
        <v>41.18</v>
      </c>
    </row>
    <row r="386" spans="1:16" x14ac:dyDescent="0.25">
      <c r="A386" t="s">
        <v>15</v>
      </c>
      <c r="B386" t="s">
        <v>379</v>
      </c>
      <c r="C386" t="s">
        <v>17</v>
      </c>
      <c r="D386" t="s">
        <v>601</v>
      </c>
      <c r="E386" t="s">
        <v>19</v>
      </c>
      <c r="F386" t="s">
        <v>602</v>
      </c>
      <c r="G386" s="1">
        <f>45693</f>
        <v>45693</v>
      </c>
      <c r="H386" t="s">
        <v>2422</v>
      </c>
      <c r="I386" s="2">
        <v>194.2</v>
      </c>
      <c r="J386" s="2">
        <v>119.01</v>
      </c>
      <c r="K386" s="2">
        <v>75.19</v>
      </c>
      <c r="L386" s="2">
        <v>38.72</v>
      </c>
      <c r="M386" s="2">
        <v>194.2</v>
      </c>
      <c r="N386" s="2">
        <v>119.01</v>
      </c>
      <c r="O386" s="2">
        <v>66.19</v>
      </c>
      <c r="P386" s="2">
        <v>38.72</v>
      </c>
    </row>
    <row r="387" spans="1:16" x14ac:dyDescent="0.25">
      <c r="A387" t="s">
        <v>15</v>
      </c>
      <c r="B387" t="s">
        <v>379</v>
      </c>
      <c r="C387" t="s">
        <v>17</v>
      </c>
      <c r="D387" t="s">
        <v>603</v>
      </c>
      <c r="E387" t="s">
        <v>19</v>
      </c>
      <c r="F387" t="s">
        <v>604</v>
      </c>
      <c r="G387" s="1">
        <f>45694</f>
        <v>45694</v>
      </c>
      <c r="H387" t="s">
        <v>2422</v>
      </c>
      <c r="I387" s="2">
        <v>2533</v>
      </c>
      <c r="J387" s="2">
        <v>1731.6</v>
      </c>
      <c r="K387" s="2">
        <v>801.4</v>
      </c>
      <c r="L387" s="2">
        <v>31.64</v>
      </c>
      <c r="M387" s="2">
        <v>2533</v>
      </c>
      <c r="N387" s="2">
        <v>1731.6</v>
      </c>
      <c r="O387" s="2">
        <v>701.4</v>
      </c>
      <c r="P387" s="2">
        <v>31.64</v>
      </c>
    </row>
    <row r="388" spans="1:16" x14ac:dyDescent="0.25">
      <c r="A388" t="s">
        <v>15</v>
      </c>
      <c r="B388" t="s">
        <v>379</v>
      </c>
      <c r="C388" t="s">
        <v>17</v>
      </c>
      <c r="D388" t="s">
        <v>605</v>
      </c>
      <c r="E388" t="s">
        <v>19</v>
      </c>
      <c r="F388" t="s">
        <v>346</v>
      </c>
      <c r="G388" s="1">
        <f>45694</f>
        <v>45694</v>
      </c>
      <c r="H388" t="s">
        <v>2422</v>
      </c>
      <c r="I388" s="2">
        <v>7474</v>
      </c>
      <c r="J388" s="2">
        <v>5182.03</v>
      </c>
      <c r="K388" s="2">
        <v>2291.9699999999998</v>
      </c>
      <c r="L388" s="2">
        <v>30.67</v>
      </c>
      <c r="M388" s="2">
        <v>7474</v>
      </c>
      <c r="N388" s="2">
        <v>5182.03</v>
      </c>
      <c r="O388" s="2">
        <v>2275.9699999999998</v>
      </c>
      <c r="P388" s="2">
        <v>30.67</v>
      </c>
    </row>
    <row r="389" spans="1:16" x14ac:dyDescent="0.25">
      <c r="A389" t="s">
        <v>15</v>
      </c>
      <c r="B389" t="s">
        <v>379</v>
      </c>
      <c r="C389" t="s">
        <v>17</v>
      </c>
      <c r="D389" t="s">
        <v>606</v>
      </c>
      <c r="E389" t="s">
        <v>47</v>
      </c>
      <c r="F389" t="s">
        <v>339</v>
      </c>
      <c r="G389" s="1">
        <f>45694</f>
        <v>45694</v>
      </c>
      <c r="H389" t="s">
        <v>70</v>
      </c>
      <c r="I389" s="2">
        <v>0</v>
      </c>
      <c r="J389" s="2">
        <v>0</v>
      </c>
      <c r="K389" s="2">
        <v>0</v>
      </c>
      <c r="L389" s="2">
        <v>0</v>
      </c>
      <c r="M389" s="2">
        <v>2.19</v>
      </c>
      <c r="N389" s="2">
        <v>1.39</v>
      </c>
      <c r="O389" s="2">
        <v>0.8</v>
      </c>
      <c r="P389" s="2">
        <v>36.53</v>
      </c>
    </row>
    <row r="390" spans="1:16" x14ac:dyDescent="0.25">
      <c r="A390" t="s">
        <v>15</v>
      </c>
      <c r="B390" t="s">
        <v>379</v>
      </c>
      <c r="C390" t="s">
        <v>17</v>
      </c>
      <c r="D390" t="s">
        <v>607</v>
      </c>
      <c r="E390" t="s">
        <v>47</v>
      </c>
      <c r="F390" t="s">
        <v>326</v>
      </c>
      <c r="G390" s="1">
        <f>45694</f>
        <v>45694</v>
      </c>
      <c r="H390" t="s">
        <v>2422</v>
      </c>
      <c r="I390" s="2">
        <v>163.6</v>
      </c>
      <c r="J390" s="2">
        <v>107.94</v>
      </c>
      <c r="K390" s="2">
        <v>55.66</v>
      </c>
      <c r="L390" s="2">
        <v>34.020000000000003</v>
      </c>
      <c r="M390" s="2">
        <v>163.6</v>
      </c>
      <c r="N390" s="2">
        <v>105.93</v>
      </c>
      <c r="O390" s="2">
        <v>48.67</v>
      </c>
      <c r="P390" s="2">
        <v>35.25</v>
      </c>
    </row>
    <row r="391" spans="1:16" x14ac:dyDescent="0.25">
      <c r="A391" t="s">
        <v>15</v>
      </c>
      <c r="B391" t="s">
        <v>379</v>
      </c>
      <c r="C391" t="s">
        <v>17</v>
      </c>
      <c r="D391" t="s">
        <v>608</v>
      </c>
      <c r="E391" t="s">
        <v>19</v>
      </c>
      <c r="F391" t="s">
        <v>361</v>
      </c>
      <c r="G391" s="1">
        <f>45695</f>
        <v>45695</v>
      </c>
      <c r="H391" t="s">
        <v>2422</v>
      </c>
      <c r="I391" s="2">
        <v>479.4</v>
      </c>
      <c r="J391" s="2">
        <v>348.99</v>
      </c>
      <c r="K391" s="2">
        <v>130.41</v>
      </c>
      <c r="L391" s="2">
        <v>27.2</v>
      </c>
      <c r="M391" s="2">
        <v>479.4</v>
      </c>
      <c r="N391" s="2">
        <v>349</v>
      </c>
      <c r="O391" s="2">
        <v>101.4</v>
      </c>
      <c r="P391" s="2">
        <v>27.2</v>
      </c>
    </row>
    <row r="392" spans="1:16" x14ac:dyDescent="0.25">
      <c r="A392" t="s">
        <v>15</v>
      </c>
      <c r="B392" t="s">
        <v>379</v>
      </c>
      <c r="C392" t="s">
        <v>17</v>
      </c>
      <c r="D392" t="s">
        <v>609</v>
      </c>
      <c r="E392" t="s">
        <v>19</v>
      </c>
      <c r="F392" t="s">
        <v>610</v>
      </c>
      <c r="G392" s="1">
        <f>45695</f>
        <v>45695</v>
      </c>
      <c r="H392" t="s">
        <v>2422</v>
      </c>
      <c r="I392" s="2">
        <v>6274.5</v>
      </c>
      <c r="J392" s="2">
        <v>3986</v>
      </c>
      <c r="K392" s="2">
        <v>2288.5</v>
      </c>
      <c r="L392" s="2">
        <v>36.47</v>
      </c>
      <c r="M392" s="2">
        <v>6274.5</v>
      </c>
      <c r="N392" s="2">
        <v>3986</v>
      </c>
      <c r="O392" s="2">
        <v>2248.5</v>
      </c>
      <c r="P392" s="2">
        <v>36.47</v>
      </c>
    </row>
    <row r="393" spans="1:16" x14ac:dyDescent="0.25">
      <c r="A393" t="s">
        <v>15</v>
      </c>
      <c r="B393" t="s">
        <v>379</v>
      </c>
      <c r="C393" t="s">
        <v>17</v>
      </c>
      <c r="D393" t="s">
        <v>611</v>
      </c>
      <c r="E393" t="s">
        <v>19</v>
      </c>
      <c r="F393" t="s">
        <v>344</v>
      </c>
      <c r="G393" s="1">
        <f>45698</f>
        <v>45698</v>
      </c>
      <c r="H393" t="s">
        <v>2422</v>
      </c>
      <c r="I393" s="2">
        <v>4710.26</v>
      </c>
      <c r="J393" s="2">
        <v>3384.55</v>
      </c>
      <c r="K393" s="2">
        <v>1325.71</v>
      </c>
      <c r="L393" s="2">
        <v>28.15</v>
      </c>
      <c r="M393" s="2">
        <v>4710.26</v>
      </c>
      <c r="N393" s="2">
        <v>3384.55</v>
      </c>
      <c r="O393" s="2">
        <v>1289.71</v>
      </c>
      <c r="P393" s="2">
        <v>28.15</v>
      </c>
    </row>
    <row r="394" spans="1:16" x14ac:dyDescent="0.25">
      <c r="A394" t="s">
        <v>15</v>
      </c>
      <c r="B394" t="s">
        <v>379</v>
      </c>
      <c r="C394" t="s">
        <v>17</v>
      </c>
      <c r="D394" t="s">
        <v>612</v>
      </c>
      <c r="E394" t="s">
        <v>47</v>
      </c>
      <c r="F394" t="s">
        <v>613</v>
      </c>
      <c r="G394" s="1">
        <f>45700</f>
        <v>45700</v>
      </c>
      <c r="H394" t="s">
        <v>2422</v>
      </c>
      <c r="I394" s="2">
        <v>5010.8</v>
      </c>
      <c r="J394" s="2">
        <v>3412</v>
      </c>
      <c r="K394" s="2">
        <v>1598.8</v>
      </c>
      <c r="L394" s="2">
        <v>31.91</v>
      </c>
      <c r="M394" s="2">
        <v>5010.8</v>
      </c>
      <c r="N394" s="2">
        <v>3412</v>
      </c>
      <c r="O394" s="2">
        <v>1414.8</v>
      </c>
      <c r="P394" s="2">
        <v>31.91</v>
      </c>
    </row>
    <row r="395" spans="1:16" x14ac:dyDescent="0.25">
      <c r="A395" t="s">
        <v>15</v>
      </c>
      <c r="B395" t="s">
        <v>379</v>
      </c>
      <c r="C395" t="s">
        <v>17</v>
      </c>
      <c r="D395" t="s">
        <v>614</v>
      </c>
      <c r="E395" t="s">
        <v>19</v>
      </c>
      <c r="F395" t="s">
        <v>313</v>
      </c>
      <c r="G395" s="1">
        <f>45700</f>
        <v>45700</v>
      </c>
      <c r="H395" t="s">
        <v>2422</v>
      </c>
      <c r="I395" s="2">
        <v>532.54</v>
      </c>
      <c r="J395" s="2">
        <v>319.56</v>
      </c>
      <c r="K395" s="2">
        <v>212.98</v>
      </c>
      <c r="L395" s="2">
        <v>39.99</v>
      </c>
      <c r="M395" s="2">
        <v>532.54</v>
      </c>
      <c r="N395" s="2">
        <v>319.55</v>
      </c>
      <c r="O395" s="2">
        <v>178.99</v>
      </c>
      <c r="P395" s="2">
        <v>40</v>
      </c>
    </row>
    <row r="396" spans="1:16" x14ac:dyDescent="0.25">
      <c r="A396" t="s">
        <v>15</v>
      </c>
      <c r="B396" t="s">
        <v>379</v>
      </c>
      <c r="C396" t="s">
        <v>17</v>
      </c>
      <c r="D396" t="s">
        <v>615</v>
      </c>
      <c r="E396" t="s">
        <v>47</v>
      </c>
      <c r="F396" t="s">
        <v>28</v>
      </c>
      <c r="G396" s="1">
        <f>45700</f>
        <v>45700</v>
      </c>
      <c r="H396" t="s">
        <v>2422</v>
      </c>
      <c r="I396" s="2">
        <v>2675.48</v>
      </c>
      <c r="J396" s="2">
        <v>1731.55</v>
      </c>
      <c r="K396" s="2">
        <v>943.93</v>
      </c>
      <c r="L396" s="2">
        <v>35.28</v>
      </c>
      <c r="M396" s="2">
        <v>2675.48</v>
      </c>
      <c r="N396" s="2">
        <v>1731.55</v>
      </c>
      <c r="O396" s="2">
        <v>848.14</v>
      </c>
      <c r="P396" s="2">
        <v>35.28</v>
      </c>
    </row>
    <row r="397" spans="1:16" x14ac:dyDescent="0.25">
      <c r="A397" t="s">
        <v>15</v>
      </c>
      <c r="B397" t="s">
        <v>379</v>
      </c>
      <c r="C397" t="s">
        <v>17</v>
      </c>
      <c r="D397" t="s">
        <v>616</v>
      </c>
      <c r="E397" t="s">
        <v>47</v>
      </c>
      <c r="F397" t="s">
        <v>617</v>
      </c>
      <c r="G397" s="1">
        <f>45701</f>
        <v>45701</v>
      </c>
      <c r="H397" t="s">
        <v>2422</v>
      </c>
      <c r="I397" s="2">
        <v>1193.5</v>
      </c>
      <c r="J397" s="2">
        <v>842.35</v>
      </c>
      <c r="K397" s="2">
        <v>351.15</v>
      </c>
      <c r="L397" s="2">
        <v>29.42</v>
      </c>
      <c r="M397" s="2">
        <v>1193.5</v>
      </c>
      <c r="N397" s="2">
        <v>842.35</v>
      </c>
      <c r="O397" s="2">
        <v>351.15</v>
      </c>
      <c r="P397" s="2">
        <v>29.42</v>
      </c>
    </row>
    <row r="398" spans="1:16" x14ac:dyDescent="0.25">
      <c r="A398" t="s">
        <v>15</v>
      </c>
      <c r="B398" t="s">
        <v>379</v>
      </c>
      <c r="C398" t="s">
        <v>17</v>
      </c>
      <c r="D398" t="s">
        <v>618</v>
      </c>
      <c r="E398" t="s">
        <v>19</v>
      </c>
      <c r="F398" t="s">
        <v>333</v>
      </c>
      <c r="G398" s="1">
        <f>45701</f>
        <v>45701</v>
      </c>
      <c r="H398" t="s">
        <v>2422</v>
      </c>
      <c r="I398" s="2">
        <v>3654.66</v>
      </c>
      <c r="J398" s="2">
        <v>2478.85</v>
      </c>
      <c r="K398" s="2">
        <v>1175.81</v>
      </c>
      <c r="L398" s="2">
        <v>32.17</v>
      </c>
      <c r="M398" s="2">
        <v>3654.66</v>
      </c>
      <c r="N398" s="2">
        <v>2478.85</v>
      </c>
      <c r="O398" s="2">
        <v>1142.81</v>
      </c>
      <c r="P398" s="2">
        <v>32.17</v>
      </c>
    </row>
    <row r="399" spans="1:16" x14ac:dyDescent="0.25">
      <c r="A399" t="s">
        <v>15</v>
      </c>
      <c r="B399" t="s">
        <v>379</v>
      </c>
      <c r="C399" t="s">
        <v>17</v>
      </c>
      <c r="D399" t="s">
        <v>619</v>
      </c>
      <c r="E399" t="s">
        <v>19</v>
      </c>
      <c r="F399" t="s">
        <v>324</v>
      </c>
      <c r="G399" s="1">
        <f>45701</f>
        <v>45701</v>
      </c>
      <c r="H399" t="s">
        <v>2422</v>
      </c>
      <c r="I399" s="2">
        <v>274.8</v>
      </c>
      <c r="J399" s="2">
        <v>155.80000000000001</v>
      </c>
      <c r="K399" s="2">
        <v>119</v>
      </c>
      <c r="L399" s="2">
        <v>43.3</v>
      </c>
      <c r="M399" s="2">
        <v>274.8</v>
      </c>
      <c r="N399" s="2">
        <v>155.80000000000001</v>
      </c>
      <c r="O399" s="2">
        <v>94</v>
      </c>
      <c r="P399" s="2">
        <v>43.3</v>
      </c>
    </row>
    <row r="400" spans="1:16" x14ac:dyDescent="0.25">
      <c r="A400" t="s">
        <v>15</v>
      </c>
      <c r="B400" t="s">
        <v>379</v>
      </c>
      <c r="C400" t="s">
        <v>17</v>
      </c>
      <c r="D400" t="s">
        <v>620</v>
      </c>
      <c r="E400" t="s">
        <v>19</v>
      </c>
      <c r="F400" t="s">
        <v>621</v>
      </c>
      <c r="G400" s="1">
        <f>45701</f>
        <v>45701</v>
      </c>
      <c r="H400" t="s">
        <v>2422</v>
      </c>
      <c r="I400" s="2">
        <v>407.2</v>
      </c>
      <c r="J400" s="2">
        <v>285.02999999999997</v>
      </c>
      <c r="K400" s="2">
        <v>122.17</v>
      </c>
      <c r="L400" s="2">
        <v>30</v>
      </c>
      <c r="M400" s="2">
        <v>407.2</v>
      </c>
      <c r="N400" s="2">
        <v>285.02999999999997</v>
      </c>
      <c r="O400" s="2">
        <v>94.17</v>
      </c>
      <c r="P400" s="2">
        <v>30</v>
      </c>
    </row>
    <row r="401" spans="1:16" x14ac:dyDescent="0.25">
      <c r="A401" t="s">
        <v>15</v>
      </c>
      <c r="B401" t="s">
        <v>379</v>
      </c>
      <c r="C401" t="s">
        <v>17</v>
      </c>
      <c r="D401" t="s">
        <v>622</v>
      </c>
      <c r="E401" t="s">
        <v>47</v>
      </c>
      <c r="F401" t="s">
        <v>361</v>
      </c>
      <c r="G401" s="1">
        <f>45701</f>
        <v>45701</v>
      </c>
      <c r="H401" t="s">
        <v>2422</v>
      </c>
      <c r="I401" s="2">
        <v>540.79999999999995</v>
      </c>
      <c r="J401" s="2">
        <v>348.96</v>
      </c>
      <c r="K401" s="2">
        <v>191.84</v>
      </c>
      <c r="L401" s="2">
        <v>35.47</v>
      </c>
      <c r="M401" s="2">
        <v>540.79999999999995</v>
      </c>
      <c r="N401" s="2">
        <v>348.96</v>
      </c>
      <c r="O401" s="2">
        <v>177.84</v>
      </c>
      <c r="P401" s="2">
        <v>35.47</v>
      </c>
    </row>
    <row r="402" spans="1:16" x14ac:dyDescent="0.25">
      <c r="A402" t="s">
        <v>15</v>
      </c>
      <c r="B402" t="s">
        <v>379</v>
      </c>
      <c r="C402" t="s">
        <v>17</v>
      </c>
      <c r="D402" t="s">
        <v>623</v>
      </c>
      <c r="E402" t="s">
        <v>19</v>
      </c>
      <c r="F402" t="s">
        <v>318</v>
      </c>
      <c r="G402" s="1">
        <f>45701</f>
        <v>45701</v>
      </c>
      <c r="H402" t="s">
        <v>2422</v>
      </c>
      <c r="I402" s="2">
        <v>1640</v>
      </c>
      <c r="J402" s="2">
        <v>1090.18</v>
      </c>
      <c r="K402" s="2">
        <v>549.82000000000005</v>
      </c>
      <c r="L402" s="2">
        <v>33.53</v>
      </c>
      <c r="M402" s="2">
        <v>1640</v>
      </c>
      <c r="N402" s="2">
        <v>1090.19</v>
      </c>
      <c r="O402" s="2">
        <v>490.81</v>
      </c>
      <c r="P402" s="2">
        <v>33.53</v>
      </c>
    </row>
    <row r="403" spans="1:16" x14ac:dyDescent="0.25">
      <c r="A403" t="s">
        <v>15</v>
      </c>
      <c r="B403" t="s">
        <v>379</v>
      </c>
      <c r="C403" t="s">
        <v>17</v>
      </c>
      <c r="D403" t="s">
        <v>624</v>
      </c>
      <c r="E403" t="s">
        <v>19</v>
      </c>
      <c r="F403" t="s">
        <v>348</v>
      </c>
      <c r="G403" s="1">
        <f>45705</f>
        <v>45705</v>
      </c>
      <c r="H403" t="s">
        <v>2422</v>
      </c>
      <c r="I403" s="2">
        <v>180</v>
      </c>
      <c r="J403" s="2">
        <v>87.7</v>
      </c>
      <c r="K403" s="2">
        <v>92.3</v>
      </c>
      <c r="L403" s="2">
        <v>51.28</v>
      </c>
      <c r="M403" s="2">
        <v>180</v>
      </c>
      <c r="N403" s="2">
        <v>87.7</v>
      </c>
      <c r="O403" s="2">
        <v>82.3</v>
      </c>
      <c r="P403" s="2">
        <v>51.28</v>
      </c>
    </row>
    <row r="404" spans="1:16" x14ac:dyDescent="0.25">
      <c r="A404" t="s">
        <v>15</v>
      </c>
      <c r="B404" t="s">
        <v>379</v>
      </c>
      <c r="C404" t="s">
        <v>17</v>
      </c>
      <c r="D404" t="s">
        <v>625</v>
      </c>
      <c r="E404" t="s">
        <v>19</v>
      </c>
      <c r="F404" t="s">
        <v>626</v>
      </c>
      <c r="G404" s="1">
        <f>45705</f>
        <v>45705</v>
      </c>
      <c r="H404" t="s">
        <v>2422</v>
      </c>
      <c r="I404" s="2">
        <v>2345.08</v>
      </c>
      <c r="J404" s="2">
        <v>1386.22</v>
      </c>
      <c r="K404" s="2">
        <v>958.86</v>
      </c>
      <c r="L404" s="2">
        <v>40.89</v>
      </c>
      <c r="M404" s="2">
        <v>2345.08</v>
      </c>
      <c r="N404" s="2">
        <v>1386.22</v>
      </c>
      <c r="O404" s="2">
        <v>873.86</v>
      </c>
      <c r="P404" s="2">
        <v>40.89</v>
      </c>
    </row>
    <row r="405" spans="1:16" x14ac:dyDescent="0.25">
      <c r="A405" t="s">
        <v>15</v>
      </c>
      <c r="B405" t="s">
        <v>379</v>
      </c>
      <c r="C405" t="s">
        <v>17</v>
      </c>
      <c r="D405" t="s">
        <v>627</v>
      </c>
      <c r="E405" t="s">
        <v>19</v>
      </c>
      <c r="F405" t="s">
        <v>318</v>
      </c>
      <c r="G405" s="1">
        <f>45706</f>
        <v>45706</v>
      </c>
      <c r="H405" t="s">
        <v>2422</v>
      </c>
      <c r="I405" s="2">
        <v>3494.82</v>
      </c>
      <c r="J405" s="2">
        <v>2301.1999999999998</v>
      </c>
      <c r="K405" s="2">
        <v>1193.6199999999999</v>
      </c>
      <c r="L405" s="2">
        <v>34.15</v>
      </c>
      <c r="M405" s="2">
        <v>3494.82</v>
      </c>
      <c r="N405" s="2">
        <v>2301.1999999999998</v>
      </c>
      <c r="O405" s="2">
        <v>1163.6199999999999</v>
      </c>
      <c r="P405" s="2">
        <v>34.15</v>
      </c>
    </row>
    <row r="406" spans="1:16" x14ac:dyDescent="0.25">
      <c r="A406" t="s">
        <v>15</v>
      </c>
      <c r="B406" t="s">
        <v>379</v>
      </c>
      <c r="C406" t="s">
        <v>17</v>
      </c>
      <c r="D406" t="s">
        <v>628</v>
      </c>
      <c r="E406" t="s">
        <v>19</v>
      </c>
      <c r="F406" t="s">
        <v>344</v>
      </c>
      <c r="G406" s="1">
        <f>45706</f>
        <v>45706</v>
      </c>
      <c r="H406" t="s">
        <v>2422</v>
      </c>
      <c r="I406" s="2">
        <v>571.70000000000005</v>
      </c>
      <c r="J406" s="2">
        <v>374.77</v>
      </c>
      <c r="K406" s="2">
        <v>196.93</v>
      </c>
      <c r="L406" s="2">
        <v>34.450000000000003</v>
      </c>
      <c r="M406" s="2">
        <v>571.70000000000005</v>
      </c>
      <c r="N406" s="2">
        <v>266.54000000000002</v>
      </c>
      <c r="O406" s="2">
        <v>270.16000000000003</v>
      </c>
      <c r="P406" s="2">
        <v>53.38</v>
      </c>
    </row>
    <row r="407" spans="1:16" x14ac:dyDescent="0.25">
      <c r="A407" t="s">
        <v>15</v>
      </c>
      <c r="B407" t="s">
        <v>379</v>
      </c>
      <c r="C407" t="s">
        <v>17</v>
      </c>
      <c r="D407" t="s">
        <v>629</v>
      </c>
      <c r="E407" t="s">
        <v>19</v>
      </c>
      <c r="F407" t="s">
        <v>322</v>
      </c>
      <c r="G407" s="1">
        <f>45706</f>
        <v>45706</v>
      </c>
      <c r="H407" t="s">
        <v>2422</v>
      </c>
      <c r="I407" s="2">
        <v>1133.5999999999999</v>
      </c>
      <c r="J407" s="2">
        <v>742.78</v>
      </c>
      <c r="K407" s="2">
        <v>390.82</v>
      </c>
      <c r="L407" s="2">
        <v>34.479999999999997</v>
      </c>
      <c r="M407" s="2">
        <v>1133.5999999999999</v>
      </c>
      <c r="N407" s="2">
        <v>742.78</v>
      </c>
      <c r="O407" s="2">
        <v>380.56</v>
      </c>
      <c r="P407" s="2">
        <v>34.479999999999997</v>
      </c>
    </row>
    <row r="408" spans="1:16" x14ac:dyDescent="0.25">
      <c r="A408" t="s">
        <v>15</v>
      </c>
      <c r="B408" t="s">
        <v>379</v>
      </c>
      <c r="C408" t="s">
        <v>17</v>
      </c>
      <c r="D408" t="s">
        <v>630</v>
      </c>
      <c r="E408" t="s">
        <v>19</v>
      </c>
      <c r="F408" t="s">
        <v>115</v>
      </c>
      <c r="G408" s="1">
        <f>45707</f>
        <v>45707</v>
      </c>
      <c r="H408" t="s">
        <v>2422</v>
      </c>
      <c r="I408" s="2">
        <v>382.9</v>
      </c>
      <c r="J408" s="2">
        <v>263.72000000000003</v>
      </c>
      <c r="K408" s="2">
        <v>119.18</v>
      </c>
      <c r="L408" s="2">
        <v>31.13</v>
      </c>
      <c r="M408" s="2">
        <v>382.9</v>
      </c>
      <c r="N408" s="2">
        <v>263.72000000000003</v>
      </c>
      <c r="O408" s="2">
        <v>60.18</v>
      </c>
      <c r="P408" s="2">
        <v>31.13</v>
      </c>
    </row>
    <row r="409" spans="1:16" x14ac:dyDescent="0.25">
      <c r="A409" t="s">
        <v>15</v>
      </c>
      <c r="B409" t="s">
        <v>379</v>
      </c>
      <c r="C409" t="s">
        <v>17</v>
      </c>
      <c r="D409" t="s">
        <v>631</v>
      </c>
      <c r="E409" t="s">
        <v>19</v>
      </c>
      <c r="F409" t="s">
        <v>632</v>
      </c>
      <c r="G409" s="1">
        <f>45707</f>
        <v>45707</v>
      </c>
      <c r="H409" t="s">
        <v>2422</v>
      </c>
      <c r="I409" s="2">
        <v>1392.5</v>
      </c>
      <c r="J409" s="2">
        <v>957.3</v>
      </c>
      <c r="K409" s="2">
        <v>435.2</v>
      </c>
      <c r="L409" s="2">
        <v>31.25</v>
      </c>
      <c r="M409" s="2">
        <v>1392.5</v>
      </c>
      <c r="N409" s="2">
        <v>957.3</v>
      </c>
      <c r="O409" s="2">
        <v>275.2</v>
      </c>
      <c r="P409" s="2">
        <v>31.25</v>
      </c>
    </row>
    <row r="410" spans="1:16" x14ac:dyDescent="0.25">
      <c r="A410" t="s">
        <v>15</v>
      </c>
      <c r="B410" t="s">
        <v>379</v>
      </c>
      <c r="C410" t="s">
        <v>17</v>
      </c>
      <c r="D410" t="s">
        <v>633</v>
      </c>
      <c r="E410" t="s">
        <v>47</v>
      </c>
      <c r="F410" t="s">
        <v>350</v>
      </c>
      <c r="G410" s="1">
        <f>45707</f>
        <v>45707</v>
      </c>
      <c r="H410" t="s">
        <v>2422</v>
      </c>
      <c r="I410" s="2">
        <v>2415</v>
      </c>
      <c r="J410" s="2">
        <v>1633.4</v>
      </c>
      <c r="K410" s="2">
        <v>781.6</v>
      </c>
      <c r="L410" s="2">
        <v>32.36</v>
      </c>
      <c r="M410" s="2">
        <v>2415</v>
      </c>
      <c r="N410" s="2">
        <v>1633.4</v>
      </c>
      <c r="O410" s="2">
        <v>766.6</v>
      </c>
      <c r="P410" s="2">
        <v>32.36</v>
      </c>
    </row>
    <row r="411" spans="1:16" x14ac:dyDescent="0.25">
      <c r="A411" t="s">
        <v>15</v>
      </c>
      <c r="B411" t="s">
        <v>379</v>
      </c>
      <c r="C411" t="s">
        <v>17</v>
      </c>
      <c r="D411" t="s">
        <v>634</v>
      </c>
      <c r="E411" t="s">
        <v>19</v>
      </c>
      <c r="F411" t="s">
        <v>322</v>
      </c>
      <c r="G411" s="1">
        <f>45707</f>
        <v>45707</v>
      </c>
      <c r="H411" t="s">
        <v>2422</v>
      </c>
      <c r="I411" s="2">
        <v>399.26</v>
      </c>
      <c r="J411" s="2">
        <v>264.24</v>
      </c>
      <c r="K411" s="2">
        <v>135.02000000000001</v>
      </c>
      <c r="L411" s="2">
        <v>33.82</v>
      </c>
      <c r="M411" s="2">
        <v>399.26</v>
      </c>
      <c r="N411" s="2">
        <v>264.22000000000003</v>
      </c>
      <c r="O411" s="2">
        <v>60.04</v>
      </c>
      <c r="P411" s="2">
        <v>33.82</v>
      </c>
    </row>
    <row r="412" spans="1:16" x14ac:dyDescent="0.25">
      <c r="A412" t="s">
        <v>15</v>
      </c>
      <c r="B412" t="s">
        <v>379</v>
      </c>
      <c r="C412" t="s">
        <v>17</v>
      </c>
      <c r="D412" t="s">
        <v>635</v>
      </c>
      <c r="E412" t="s">
        <v>47</v>
      </c>
      <c r="F412" t="s">
        <v>320</v>
      </c>
      <c r="G412" s="1">
        <f>45708</f>
        <v>45708</v>
      </c>
      <c r="H412" t="s">
        <v>2422</v>
      </c>
      <c r="I412" s="2">
        <v>2554.1</v>
      </c>
      <c r="J412" s="2">
        <v>1609.08</v>
      </c>
      <c r="K412" s="2">
        <v>945.02</v>
      </c>
      <c r="L412" s="2">
        <v>37</v>
      </c>
      <c r="M412" s="2">
        <v>2554.1</v>
      </c>
      <c r="N412" s="2">
        <v>1609.08</v>
      </c>
      <c r="O412" s="2">
        <v>888.44</v>
      </c>
      <c r="P412" s="2">
        <v>37</v>
      </c>
    </row>
    <row r="413" spans="1:16" x14ac:dyDescent="0.25">
      <c r="A413" t="s">
        <v>15</v>
      </c>
      <c r="B413" t="s">
        <v>379</v>
      </c>
      <c r="C413" t="s">
        <v>17</v>
      </c>
      <c r="D413" t="s">
        <v>636</v>
      </c>
      <c r="E413" t="s">
        <v>19</v>
      </c>
      <c r="F413" t="s">
        <v>617</v>
      </c>
      <c r="G413" s="1">
        <f>45709</f>
        <v>45709</v>
      </c>
      <c r="H413" t="s">
        <v>51</v>
      </c>
      <c r="I413" s="2">
        <v>287.39999999999998</v>
      </c>
      <c r="J413" s="2">
        <v>176.71</v>
      </c>
      <c r="K413" s="2">
        <v>110.69</v>
      </c>
      <c r="L413" s="2">
        <v>38.51</v>
      </c>
      <c r="M413" s="2">
        <v>287.39999999999998</v>
      </c>
      <c r="N413" s="2">
        <v>176.72</v>
      </c>
      <c r="O413" s="2">
        <v>63.68</v>
      </c>
      <c r="P413" s="2">
        <v>38.51</v>
      </c>
    </row>
    <row r="414" spans="1:16" x14ac:dyDescent="0.25">
      <c r="A414" t="s">
        <v>15</v>
      </c>
      <c r="B414" t="s">
        <v>379</v>
      </c>
      <c r="C414" t="s">
        <v>17</v>
      </c>
      <c r="D414" t="s">
        <v>637</v>
      </c>
      <c r="E414" t="s">
        <v>47</v>
      </c>
      <c r="F414" t="s">
        <v>339</v>
      </c>
      <c r="G414" s="1">
        <f>45709</f>
        <v>45709</v>
      </c>
      <c r="H414" t="s">
        <v>84</v>
      </c>
      <c r="I414" s="2">
        <v>0</v>
      </c>
      <c r="J414" s="2">
        <v>0</v>
      </c>
      <c r="K414" s="2">
        <v>0</v>
      </c>
      <c r="L414" s="2">
        <v>0</v>
      </c>
      <c r="M414" s="2">
        <v>99.76</v>
      </c>
      <c r="N414" s="2">
        <v>58.72</v>
      </c>
      <c r="O414" s="2">
        <v>41.04</v>
      </c>
      <c r="P414" s="2">
        <v>41.14</v>
      </c>
    </row>
    <row r="415" spans="1:16" x14ac:dyDescent="0.25">
      <c r="A415" t="s">
        <v>15</v>
      </c>
      <c r="B415" t="s">
        <v>379</v>
      </c>
      <c r="C415" t="s">
        <v>17</v>
      </c>
      <c r="D415" t="s">
        <v>638</v>
      </c>
      <c r="E415" t="s">
        <v>19</v>
      </c>
      <c r="F415" t="s">
        <v>626</v>
      </c>
      <c r="G415" s="1">
        <f>45712</f>
        <v>45712</v>
      </c>
      <c r="H415" t="s">
        <v>56</v>
      </c>
      <c r="I415" s="2">
        <v>1779.32</v>
      </c>
      <c r="J415" s="2">
        <v>1191.6400000000001</v>
      </c>
      <c r="K415" s="2">
        <v>587.67999999999995</v>
      </c>
      <c r="L415" s="2">
        <v>33.03</v>
      </c>
      <c r="M415" s="2">
        <v>1779.32</v>
      </c>
      <c r="N415" s="2">
        <v>1191.6400000000001</v>
      </c>
      <c r="O415" s="2">
        <v>522.67999999999995</v>
      </c>
      <c r="P415" s="2">
        <v>33.03</v>
      </c>
    </row>
    <row r="416" spans="1:16" x14ac:dyDescent="0.25">
      <c r="A416" t="s">
        <v>15</v>
      </c>
      <c r="B416" t="s">
        <v>379</v>
      </c>
      <c r="C416" t="s">
        <v>17</v>
      </c>
      <c r="D416" t="s">
        <v>639</v>
      </c>
      <c r="E416" t="s">
        <v>19</v>
      </c>
      <c r="F416" t="s">
        <v>348</v>
      </c>
      <c r="G416" s="1">
        <f>45712</f>
        <v>45712</v>
      </c>
      <c r="H416" t="s">
        <v>56</v>
      </c>
      <c r="I416" s="2">
        <v>686</v>
      </c>
      <c r="J416" s="2">
        <v>470.4</v>
      </c>
      <c r="K416" s="2">
        <v>215.6</v>
      </c>
      <c r="L416" s="2">
        <v>31.43</v>
      </c>
      <c r="M416" s="2">
        <v>686</v>
      </c>
      <c r="N416" s="2">
        <v>470.4</v>
      </c>
      <c r="O416" s="2">
        <v>200.6</v>
      </c>
      <c r="P416" s="2">
        <v>31.43</v>
      </c>
    </row>
    <row r="417" spans="1:16" x14ac:dyDescent="0.25">
      <c r="A417" t="s">
        <v>15</v>
      </c>
      <c r="B417" t="s">
        <v>379</v>
      </c>
      <c r="C417" t="s">
        <v>17</v>
      </c>
      <c r="D417" t="s">
        <v>640</v>
      </c>
      <c r="E417" t="s">
        <v>19</v>
      </c>
      <c r="F417" t="s">
        <v>610</v>
      </c>
      <c r="G417" s="1">
        <f>45714</f>
        <v>45714</v>
      </c>
      <c r="H417" t="s">
        <v>56</v>
      </c>
      <c r="I417" s="2">
        <v>2890.4</v>
      </c>
      <c r="J417" s="2">
        <v>1763.39</v>
      </c>
      <c r="K417" s="2">
        <v>1127.01</v>
      </c>
      <c r="L417" s="2">
        <v>38.99</v>
      </c>
      <c r="M417" s="2">
        <v>2890.4</v>
      </c>
      <c r="N417" s="2">
        <v>1763.39</v>
      </c>
      <c r="O417" s="2">
        <v>1090.01</v>
      </c>
      <c r="P417" s="2">
        <v>38.99</v>
      </c>
    </row>
    <row r="418" spans="1:16" x14ac:dyDescent="0.25">
      <c r="A418" t="s">
        <v>15</v>
      </c>
      <c r="B418" t="s">
        <v>379</v>
      </c>
      <c r="C418" t="s">
        <v>17</v>
      </c>
      <c r="D418" t="s">
        <v>641</v>
      </c>
      <c r="E418" t="s">
        <v>19</v>
      </c>
      <c r="F418" t="s">
        <v>326</v>
      </c>
      <c r="G418" s="1">
        <f>45714</f>
        <v>45714</v>
      </c>
      <c r="H418" t="s">
        <v>51</v>
      </c>
      <c r="I418" s="2">
        <v>1081.5</v>
      </c>
      <c r="J418" s="2">
        <v>712.37</v>
      </c>
      <c r="K418" s="2">
        <v>369.13</v>
      </c>
      <c r="L418" s="2">
        <v>34.130000000000003</v>
      </c>
      <c r="M418" s="2">
        <v>1081.5</v>
      </c>
      <c r="N418" s="2">
        <v>712.36</v>
      </c>
      <c r="O418" s="2">
        <v>355.14</v>
      </c>
      <c r="P418" s="2">
        <v>34.130000000000003</v>
      </c>
    </row>
    <row r="419" spans="1:16" x14ac:dyDescent="0.25">
      <c r="A419" t="s">
        <v>15</v>
      </c>
      <c r="B419" t="s">
        <v>379</v>
      </c>
      <c r="C419" t="s">
        <v>17</v>
      </c>
      <c r="D419" t="s">
        <v>642</v>
      </c>
      <c r="E419" t="s">
        <v>19</v>
      </c>
      <c r="F419" t="s">
        <v>23</v>
      </c>
      <c r="G419" s="1">
        <f>45714</f>
        <v>45714</v>
      </c>
      <c r="H419" t="s">
        <v>56</v>
      </c>
      <c r="I419" s="2">
        <v>3920.6</v>
      </c>
      <c r="J419" s="2">
        <v>2675.71</v>
      </c>
      <c r="K419" s="2">
        <v>1244.8900000000001</v>
      </c>
      <c r="L419" s="2">
        <v>31.75</v>
      </c>
      <c r="M419" s="2">
        <v>3920.6</v>
      </c>
      <c r="N419" s="2">
        <v>2621.88</v>
      </c>
      <c r="O419" s="2">
        <v>1263.72</v>
      </c>
      <c r="P419" s="2">
        <v>33.130000000000003</v>
      </c>
    </row>
    <row r="420" spans="1:16" x14ac:dyDescent="0.25">
      <c r="A420" t="s">
        <v>15</v>
      </c>
      <c r="B420" t="s">
        <v>379</v>
      </c>
      <c r="C420" t="s">
        <v>17</v>
      </c>
      <c r="D420" t="s">
        <v>643</v>
      </c>
      <c r="E420" t="s">
        <v>19</v>
      </c>
      <c r="F420" t="s">
        <v>311</v>
      </c>
      <c r="G420" s="1">
        <f>45715</f>
        <v>45715</v>
      </c>
      <c r="H420" t="s">
        <v>2422</v>
      </c>
      <c r="I420" s="2">
        <v>1337.2</v>
      </c>
      <c r="J420" s="2">
        <v>535.66</v>
      </c>
      <c r="K420" s="2">
        <v>801.54</v>
      </c>
      <c r="L420" s="2">
        <v>59.94</v>
      </c>
      <c r="M420" s="2">
        <v>1337.2</v>
      </c>
      <c r="N420" s="2">
        <v>535.66</v>
      </c>
      <c r="O420" s="2">
        <v>786.54</v>
      </c>
      <c r="P420" s="2">
        <v>59.94</v>
      </c>
    </row>
    <row r="421" spans="1:16" x14ac:dyDescent="0.25">
      <c r="A421" t="s">
        <v>15</v>
      </c>
      <c r="B421" t="s">
        <v>379</v>
      </c>
      <c r="C421" t="s">
        <v>17</v>
      </c>
      <c r="D421" t="s">
        <v>644</v>
      </c>
      <c r="E421" t="s">
        <v>47</v>
      </c>
      <c r="F421" t="s">
        <v>342</v>
      </c>
      <c r="G421" s="1">
        <f>45715</f>
        <v>45715</v>
      </c>
      <c r="H421" t="s">
        <v>2422</v>
      </c>
      <c r="I421" s="2">
        <v>1816.27</v>
      </c>
      <c r="J421" s="2">
        <v>1099.0999999999999</v>
      </c>
      <c r="K421" s="2">
        <v>717.17</v>
      </c>
      <c r="L421" s="2">
        <v>39.49</v>
      </c>
      <c r="M421" s="2">
        <v>1816.27</v>
      </c>
      <c r="N421" s="2">
        <v>1099.0999999999999</v>
      </c>
      <c r="O421" s="2">
        <v>643.16999999999996</v>
      </c>
      <c r="P421" s="2">
        <v>39.49</v>
      </c>
    </row>
    <row r="422" spans="1:16" x14ac:dyDescent="0.25">
      <c r="A422" t="s">
        <v>15</v>
      </c>
      <c r="B422" t="s">
        <v>379</v>
      </c>
      <c r="C422" t="s">
        <v>17</v>
      </c>
      <c r="D422" t="s">
        <v>645</v>
      </c>
      <c r="E422" t="s">
        <v>47</v>
      </c>
      <c r="F422" t="s">
        <v>353</v>
      </c>
      <c r="G422" s="1">
        <f>45715</f>
        <v>45715</v>
      </c>
      <c r="H422" t="s">
        <v>2422</v>
      </c>
      <c r="I422" s="2">
        <v>492.32</v>
      </c>
      <c r="J422" s="2">
        <v>258.43</v>
      </c>
      <c r="K422" s="2">
        <v>233.89</v>
      </c>
      <c r="L422" s="2">
        <v>47.51</v>
      </c>
      <c r="M422" s="2">
        <v>492.32</v>
      </c>
      <c r="N422" s="2">
        <v>258.43</v>
      </c>
      <c r="O422" s="2">
        <v>199.89</v>
      </c>
      <c r="P422" s="2">
        <v>47.51</v>
      </c>
    </row>
    <row r="423" spans="1:16" x14ac:dyDescent="0.25">
      <c r="A423" t="s">
        <v>15</v>
      </c>
      <c r="B423" t="s">
        <v>379</v>
      </c>
      <c r="C423" t="s">
        <v>17</v>
      </c>
      <c r="D423" t="s">
        <v>646</v>
      </c>
      <c r="E423" t="s">
        <v>19</v>
      </c>
      <c r="F423" t="s">
        <v>333</v>
      </c>
      <c r="G423" s="1">
        <f>45715</f>
        <v>45715</v>
      </c>
      <c r="H423" t="s">
        <v>2422</v>
      </c>
      <c r="I423" s="2">
        <v>606.78</v>
      </c>
      <c r="J423" s="2">
        <v>356.68</v>
      </c>
      <c r="K423" s="2">
        <v>250.1</v>
      </c>
      <c r="L423" s="2">
        <v>41.22</v>
      </c>
      <c r="M423" s="2">
        <v>606.78</v>
      </c>
      <c r="N423" s="2">
        <v>365</v>
      </c>
      <c r="O423" s="2">
        <v>209.78</v>
      </c>
      <c r="P423" s="2">
        <v>39.85</v>
      </c>
    </row>
    <row r="424" spans="1:16" x14ac:dyDescent="0.25">
      <c r="A424" t="s">
        <v>15</v>
      </c>
      <c r="B424" t="s">
        <v>379</v>
      </c>
      <c r="C424" t="s">
        <v>17</v>
      </c>
      <c r="D424" t="s">
        <v>647</v>
      </c>
      <c r="E424" t="s">
        <v>19</v>
      </c>
      <c r="F424" t="s">
        <v>342</v>
      </c>
      <c r="G424" s="1">
        <f>45715</f>
        <v>45715</v>
      </c>
      <c r="H424" t="s">
        <v>2422</v>
      </c>
      <c r="I424" s="2">
        <v>388.68</v>
      </c>
      <c r="J424" s="2">
        <v>229</v>
      </c>
      <c r="K424" s="2">
        <v>159.68</v>
      </c>
      <c r="L424" s="2">
        <v>41.08</v>
      </c>
      <c r="M424" s="2">
        <v>388.68</v>
      </c>
      <c r="N424" s="2">
        <v>229</v>
      </c>
      <c r="O424" s="2">
        <v>150.68</v>
      </c>
      <c r="P424" s="2">
        <v>41.08</v>
      </c>
    </row>
    <row r="425" spans="1:16" x14ac:dyDescent="0.25">
      <c r="A425" t="s">
        <v>15</v>
      </c>
      <c r="B425" t="s">
        <v>379</v>
      </c>
      <c r="C425" t="s">
        <v>17</v>
      </c>
      <c r="D425" t="s">
        <v>648</v>
      </c>
      <c r="E425" t="s">
        <v>19</v>
      </c>
      <c r="F425" t="s">
        <v>649</v>
      </c>
      <c r="G425" s="1">
        <f>45716</f>
        <v>45716</v>
      </c>
      <c r="H425" t="s">
        <v>2422</v>
      </c>
      <c r="I425" s="2">
        <v>435.6</v>
      </c>
      <c r="J425" s="2">
        <v>227.8</v>
      </c>
      <c r="K425" s="2">
        <v>207.8</v>
      </c>
      <c r="L425" s="2">
        <v>47.7</v>
      </c>
      <c r="M425" s="2">
        <v>435.6</v>
      </c>
      <c r="N425" s="2">
        <v>227.8</v>
      </c>
      <c r="O425" s="2">
        <v>197.8</v>
      </c>
      <c r="P425" s="2">
        <v>47.7</v>
      </c>
    </row>
    <row r="426" spans="1:16" x14ac:dyDescent="0.25">
      <c r="A426" t="s">
        <v>15</v>
      </c>
      <c r="B426" t="s">
        <v>379</v>
      </c>
      <c r="C426" t="s">
        <v>17</v>
      </c>
      <c r="D426" t="s">
        <v>650</v>
      </c>
      <c r="E426" t="s">
        <v>47</v>
      </c>
      <c r="F426" t="s">
        <v>353</v>
      </c>
      <c r="G426" s="1">
        <f>45716</f>
        <v>45716</v>
      </c>
      <c r="H426" t="s">
        <v>2422</v>
      </c>
      <c r="I426" s="2">
        <v>1486.29</v>
      </c>
      <c r="J426" s="2">
        <v>1114.3800000000001</v>
      </c>
      <c r="K426" s="2">
        <v>371.91</v>
      </c>
      <c r="L426" s="2">
        <v>25.02</v>
      </c>
      <c r="M426" s="2">
        <v>1486.29</v>
      </c>
      <c r="N426" s="2">
        <v>1114.3800000000001</v>
      </c>
      <c r="O426" s="2">
        <v>341.91</v>
      </c>
      <c r="P426" s="2">
        <v>25.02</v>
      </c>
    </row>
    <row r="427" spans="1:16" x14ac:dyDescent="0.25">
      <c r="A427" t="s">
        <v>15</v>
      </c>
      <c r="B427" t="s">
        <v>379</v>
      </c>
      <c r="C427" t="s">
        <v>17</v>
      </c>
      <c r="D427" t="s">
        <v>651</v>
      </c>
      <c r="E427" t="s">
        <v>47</v>
      </c>
      <c r="F427" t="s">
        <v>320</v>
      </c>
      <c r="G427" s="1">
        <f>45706</f>
        <v>45706</v>
      </c>
      <c r="H427" t="s">
        <v>2422</v>
      </c>
      <c r="I427" s="2">
        <v>8435</v>
      </c>
      <c r="J427" s="2">
        <v>6105.6</v>
      </c>
      <c r="K427" s="2">
        <v>2329.4</v>
      </c>
      <c r="L427" s="2">
        <v>27.62</v>
      </c>
      <c r="M427" s="2">
        <v>8435</v>
      </c>
      <c r="N427" s="2">
        <v>6105.6</v>
      </c>
      <c r="O427" s="2">
        <v>2185.4</v>
      </c>
      <c r="P427" s="2">
        <v>27.62</v>
      </c>
    </row>
    <row r="428" spans="1:16" x14ac:dyDescent="0.25">
      <c r="A428" t="s">
        <v>15</v>
      </c>
      <c r="B428" t="s">
        <v>379</v>
      </c>
      <c r="C428" t="s">
        <v>17</v>
      </c>
      <c r="D428" t="s">
        <v>652</v>
      </c>
      <c r="E428" t="s">
        <v>47</v>
      </c>
      <c r="F428" t="s">
        <v>316</v>
      </c>
      <c r="G428" s="1">
        <f>45700</f>
        <v>45700</v>
      </c>
      <c r="H428" t="s">
        <v>2422</v>
      </c>
      <c r="I428" s="2">
        <v>9725.5</v>
      </c>
      <c r="J428" s="2">
        <v>6899.39</v>
      </c>
      <c r="K428" s="2">
        <v>2826.11</v>
      </c>
      <c r="L428" s="2">
        <v>29.06</v>
      </c>
      <c r="M428" s="2">
        <v>9530.9</v>
      </c>
      <c r="N428" s="2">
        <v>6899.39</v>
      </c>
      <c r="O428" s="2">
        <v>2224.0700000000002</v>
      </c>
      <c r="P428" s="2">
        <v>27.61</v>
      </c>
    </row>
    <row r="429" spans="1:16" x14ac:dyDescent="0.25">
      <c r="A429" t="s">
        <v>15</v>
      </c>
      <c r="B429" t="s">
        <v>653</v>
      </c>
      <c r="C429" t="s">
        <v>17</v>
      </c>
      <c r="D429" t="s">
        <v>654</v>
      </c>
      <c r="E429" t="s">
        <v>19</v>
      </c>
      <c r="F429" t="s">
        <v>655</v>
      </c>
      <c r="G429" s="1">
        <f>45726</f>
        <v>45726</v>
      </c>
      <c r="H429" t="s">
        <v>2422</v>
      </c>
      <c r="I429" s="2">
        <v>562.16999999999996</v>
      </c>
      <c r="J429" s="2">
        <v>311.64</v>
      </c>
      <c r="K429" s="2">
        <v>250.53</v>
      </c>
      <c r="L429" s="2">
        <v>44.57</v>
      </c>
      <c r="M429" s="2">
        <v>562.16999999999996</v>
      </c>
      <c r="N429" s="2">
        <v>317.39999999999998</v>
      </c>
      <c r="O429" s="2">
        <v>210.77</v>
      </c>
      <c r="P429" s="2">
        <v>43.54</v>
      </c>
    </row>
    <row r="430" spans="1:16" x14ac:dyDescent="0.25">
      <c r="A430" t="s">
        <v>15</v>
      </c>
      <c r="B430" t="s">
        <v>653</v>
      </c>
      <c r="C430" t="s">
        <v>17</v>
      </c>
      <c r="D430" t="s">
        <v>656</v>
      </c>
      <c r="E430" t="s">
        <v>47</v>
      </c>
      <c r="F430" t="s">
        <v>657</v>
      </c>
      <c r="G430" s="1">
        <f>45740</f>
        <v>45740</v>
      </c>
      <c r="H430" t="s">
        <v>2422</v>
      </c>
      <c r="I430" s="2">
        <v>321.58</v>
      </c>
      <c r="J430" s="2">
        <v>198.24</v>
      </c>
      <c r="K430" s="2">
        <v>123.34</v>
      </c>
      <c r="L430" s="2">
        <v>38.35</v>
      </c>
      <c r="M430" s="2">
        <v>321.58</v>
      </c>
      <c r="N430" s="2">
        <v>198.24</v>
      </c>
      <c r="O430" s="2">
        <v>79.34</v>
      </c>
      <c r="P430" s="2">
        <v>38.35</v>
      </c>
    </row>
    <row r="431" spans="1:16" x14ac:dyDescent="0.25">
      <c r="A431" t="s">
        <v>15</v>
      </c>
      <c r="B431" t="s">
        <v>653</v>
      </c>
      <c r="C431" t="s">
        <v>17</v>
      </c>
      <c r="D431" t="s">
        <v>658</v>
      </c>
      <c r="E431" t="s">
        <v>19</v>
      </c>
      <c r="F431" t="s">
        <v>37</v>
      </c>
      <c r="G431" s="1">
        <f>45721</f>
        <v>45721</v>
      </c>
      <c r="H431" t="s">
        <v>2422</v>
      </c>
      <c r="I431" s="2">
        <v>800.84</v>
      </c>
      <c r="J431" s="2">
        <v>502.4</v>
      </c>
      <c r="K431" s="2">
        <v>298.44</v>
      </c>
      <c r="L431" s="2">
        <v>37.270000000000003</v>
      </c>
      <c r="M431" s="2">
        <v>800.84</v>
      </c>
      <c r="N431" s="2">
        <v>502.4</v>
      </c>
      <c r="O431" s="2">
        <v>250.44</v>
      </c>
      <c r="P431" s="2">
        <v>37.270000000000003</v>
      </c>
    </row>
    <row r="432" spans="1:16" x14ac:dyDescent="0.25">
      <c r="A432" t="s">
        <v>15</v>
      </c>
      <c r="B432" t="s">
        <v>653</v>
      </c>
      <c r="C432" t="s">
        <v>17</v>
      </c>
      <c r="D432" t="s">
        <v>659</v>
      </c>
      <c r="E432" t="s">
        <v>19</v>
      </c>
      <c r="F432" t="s">
        <v>660</v>
      </c>
      <c r="G432" s="1">
        <f>45721</f>
        <v>45721</v>
      </c>
      <c r="H432" t="s">
        <v>2422</v>
      </c>
      <c r="I432" s="2">
        <v>2774.7</v>
      </c>
      <c r="J432" s="2">
        <v>1989.6</v>
      </c>
      <c r="K432" s="2">
        <v>785.1</v>
      </c>
      <c r="L432" s="2">
        <v>28.29</v>
      </c>
      <c r="M432" s="2">
        <v>2774.7</v>
      </c>
      <c r="N432" s="2">
        <v>1950.55</v>
      </c>
      <c r="O432" s="2">
        <v>787.53</v>
      </c>
      <c r="P432" s="2">
        <v>29.7</v>
      </c>
    </row>
    <row r="433" spans="1:16" x14ac:dyDescent="0.25">
      <c r="A433" t="s">
        <v>15</v>
      </c>
      <c r="B433" t="s">
        <v>653</v>
      </c>
      <c r="C433" t="s">
        <v>17</v>
      </c>
      <c r="D433" t="s">
        <v>661</v>
      </c>
      <c r="E433" t="s">
        <v>19</v>
      </c>
      <c r="F433" t="s">
        <v>20</v>
      </c>
      <c r="G433" s="1">
        <f>45723</f>
        <v>45723</v>
      </c>
      <c r="H433" t="s">
        <v>2422</v>
      </c>
      <c r="I433" s="2">
        <v>2390.84</v>
      </c>
      <c r="J433" s="2">
        <v>1624.74</v>
      </c>
      <c r="K433" s="2">
        <v>766.1</v>
      </c>
      <c r="L433" s="2">
        <v>32.04</v>
      </c>
      <c r="M433" s="2">
        <v>2390.84</v>
      </c>
      <c r="N433" s="2">
        <v>1624.74</v>
      </c>
      <c r="O433" s="2">
        <v>657.1</v>
      </c>
      <c r="P433" s="2">
        <v>32.04</v>
      </c>
    </row>
    <row r="434" spans="1:16" x14ac:dyDescent="0.25">
      <c r="A434" t="s">
        <v>15</v>
      </c>
      <c r="B434" t="s">
        <v>653</v>
      </c>
      <c r="C434" t="s">
        <v>17</v>
      </c>
      <c r="D434" t="s">
        <v>662</v>
      </c>
      <c r="E434" t="s">
        <v>19</v>
      </c>
      <c r="F434" t="s">
        <v>663</v>
      </c>
      <c r="G434" s="1">
        <f>45723</f>
        <v>45723</v>
      </c>
      <c r="H434" t="s">
        <v>2422</v>
      </c>
      <c r="I434" s="2">
        <v>338.08</v>
      </c>
      <c r="J434" s="2">
        <v>230.13</v>
      </c>
      <c r="K434" s="2">
        <v>107.95</v>
      </c>
      <c r="L434" s="2">
        <v>31.93</v>
      </c>
      <c r="M434" s="2">
        <v>338.08</v>
      </c>
      <c r="N434" s="2">
        <v>230.12</v>
      </c>
      <c r="O434" s="2">
        <v>94.62</v>
      </c>
      <c r="P434" s="2">
        <v>31.93</v>
      </c>
    </row>
    <row r="435" spans="1:16" x14ac:dyDescent="0.25">
      <c r="A435" t="s">
        <v>15</v>
      </c>
      <c r="B435" t="s">
        <v>653</v>
      </c>
      <c r="C435" t="s">
        <v>17</v>
      </c>
      <c r="D435" t="s">
        <v>664</v>
      </c>
      <c r="E435" t="s">
        <v>19</v>
      </c>
      <c r="F435" t="s">
        <v>35</v>
      </c>
      <c r="G435" s="1">
        <f>45723</f>
        <v>45723</v>
      </c>
      <c r="H435" t="s">
        <v>2422</v>
      </c>
      <c r="I435" s="2">
        <v>150</v>
      </c>
      <c r="J435" s="2">
        <v>53.05</v>
      </c>
      <c r="K435" s="2">
        <v>96.95</v>
      </c>
      <c r="L435" s="2">
        <v>64.63</v>
      </c>
      <c r="M435" s="2">
        <v>150</v>
      </c>
      <c r="N435" s="2">
        <v>53.05</v>
      </c>
      <c r="O435" s="2">
        <v>87.95</v>
      </c>
      <c r="P435" s="2">
        <v>64.63</v>
      </c>
    </row>
    <row r="436" spans="1:16" x14ac:dyDescent="0.25">
      <c r="A436" t="s">
        <v>15</v>
      </c>
      <c r="B436" t="s">
        <v>653</v>
      </c>
      <c r="C436" t="s">
        <v>17</v>
      </c>
      <c r="D436" t="s">
        <v>665</v>
      </c>
      <c r="E436" t="s">
        <v>19</v>
      </c>
      <c r="F436" t="s">
        <v>26</v>
      </c>
      <c r="G436" s="1">
        <f>45723</f>
        <v>45723</v>
      </c>
      <c r="H436" t="s">
        <v>2422</v>
      </c>
      <c r="I436" s="2">
        <v>488</v>
      </c>
      <c r="J436" s="2">
        <v>282</v>
      </c>
      <c r="K436" s="2">
        <v>206</v>
      </c>
      <c r="L436" s="2">
        <v>42.21</v>
      </c>
      <c r="M436" s="2">
        <v>488</v>
      </c>
      <c r="N436" s="2">
        <v>282</v>
      </c>
      <c r="O436" s="2">
        <v>197</v>
      </c>
      <c r="P436" s="2">
        <v>42.21</v>
      </c>
    </row>
    <row r="437" spans="1:16" x14ac:dyDescent="0.25">
      <c r="A437" t="s">
        <v>15</v>
      </c>
      <c r="B437" t="s">
        <v>653</v>
      </c>
      <c r="C437" t="s">
        <v>17</v>
      </c>
      <c r="D437" t="s">
        <v>666</v>
      </c>
      <c r="E437" t="s">
        <v>19</v>
      </c>
      <c r="F437" t="s">
        <v>37</v>
      </c>
      <c r="G437" s="1">
        <f>45735</f>
        <v>45735</v>
      </c>
      <c r="H437" t="s">
        <v>2422</v>
      </c>
      <c r="I437" s="2">
        <v>1018.16</v>
      </c>
      <c r="J437" s="2">
        <v>606.72</v>
      </c>
      <c r="K437" s="2">
        <v>411.44</v>
      </c>
      <c r="L437" s="2">
        <v>40.409999999999997</v>
      </c>
      <c r="M437" s="2">
        <v>1018.16</v>
      </c>
      <c r="N437" s="2">
        <v>606.72</v>
      </c>
      <c r="O437" s="2">
        <v>379.94</v>
      </c>
      <c r="P437" s="2">
        <v>40.409999999999997</v>
      </c>
    </row>
    <row r="438" spans="1:16" x14ac:dyDescent="0.25">
      <c r="A438" t="s">
        <v>15</v>
      </c>
      <c r="B438" t="s">
        <v>653</v>
      </c>
      <c r="C438" t="s">
        <v>17</v>
      </c>
      <c r="D438" t="s">
        <v>667</v>
      </c>
      <c r="E438" t="s">
        <v>47</v>
      </c>
      <c r="F438" t="s">
        <v>20</v>
      </c>
      <c r="G438" s="1">
        <f>45737</f>
        <v>45737</v>
      </c>
      <c r="H438" t="s">
        <v>2422</v>
      </c>
      <c r="I438" s="2">
        <v>3363.96</v>
      </c>
      <c r="J438" s="2">
        <v>2287.5</v>
      </c>
      <c r="K438" s="2">
        <v>1076.46</v>
      </c>
      <c r="L438" s="2">
        <v>32</v>
      </c>
      <c r="M438" s="2">
        <v>3363.96</v>
      </c>
      <c r="N438" s="2">
        <v>2287.5</v>
      </c>
      <c r="O438" s="2">
        <v>1067.46</v>
      </c>
      <c r="P438" s="2">
        <v>32</v>
      </c>
    </row>
    <row r="439" spans="1:16" x14ac:dyDescent="0.25">
      <c r="A439" t="s">
        <v>15</v>
      </c>
      <c r="B439" t="s">
        <v>653</v>
      </c>
      <c r="C439" t="s">
        <v>17</v>
      </c>
      <c r="D439" t="s">
        <v>668</v>
      </c>
      <c r="E439" t="s">
        <v>19</v>
      </c>
      <c r="F439" t="s">
        <v>33</v>
      </c>
      <c r="G439" s="1">
        <f>45737</f>
        <v>45737</v>
      </c>
      <c r="H439" t="s">
        <v>2422</v>
      </c>
      <c r="I439" s="2">
        <v>645</v>
      </c>
      <c r="J439" s="2">
        <v>421.2</v>
      </c>
      <c r="K439" s="2">
        <v>223.8</v>
      </c>
      <c r="L439" s="2">
        <v>34.700000000000003</v>
      </c>
      <c r="M439" s="2">
        <v>645</v>
      </c>
      <c r="N439" s="2">
        <v>421.2</v>
      </c>
      <c r="O439" s="2">
        <v>208.8</v>
      </c>
      <c r="P439" s="2">
        <v>34.700000000000003</v>
      </c>
    </row>
    <row r="440" spans="1:16" x14ac:dyDescent="0.25">
      <c r="A440" t="s">
        <v>15</v>
      </c>
      <c r="B440" t="s">
        <v>653</v>
      </c>
      <c r="C440" t="s">
        <v>17</v>
      </c>
      <c r="D440" t="s">
        <v>669</v>
      </c>
      <c r="E440" t="s">
        <v>19</v>
      </c>
      <c r="F440" t="s">
        <v>670</v>
      </c>
      <c r="G440" s="1">
        <f>45719</f>
        <v>45719</v>
      </c>
      <c r="H440" t="s">
        <v>51</v>
      </c>
      <c r="I440" s="2">
        <v>1603.4</v>
      </c>
      <c r="J440" s="2">
        <v>1158.3800000000001</v>
      </c>
      <c r="K440" s="2">
        <v>445.02</v>
      </c>
      <c r="L440" s="2">
        <v>27.75</v>
      </c>
      <c r="M440" s="2">
        <v>1603.4</v>
      </c>
      <c r="N440" s="2">
        <v>1158.3800000000001</v>
      </c>
      <c r="O440" s="2">
        <v>413.02</v>
      </c>
      <c r="P440" s="2">
        <v>27.75</v>
      </c>
    </row>
    <row r="441" spans="1:16" x14ac:dyDescent="0.25">
      <c r="A441" t="s">
        <v>15</v>
      </c>
      <c r="B441" t="s">
        <v>653</v>
      </c>
      <c r="C441" t="s">
        <v>17</v>
      </c>
      <c r="D441" t="s">
        <v>671</v>
      </c>
      <c r="E441" t="s">
        <v>19</v>
      </c>
      <c r="F441" t="s">
        <v>50</v>
      </c>
      <c r="G441" s="1">
        <f>45721</f>
        <v>45721</v>
      </c>
      <c r="H441" t="s">
        <v>51</v>
      </c>
      <c r="I441" s="2">
        <v>18466.25</v>
      </c>
      <c r="J441" s="2">
        <v>14598.5</v>
      </c>
      <c r="K441" s="2">
        <v>3867.75</v>
      </c>
      <c r="L441" s="2">
        <v>20.94</v>
      </c>
      <c r="M441" s="2">
        <v>18466.25</v>
      </c>
      <c r="N441" s="2">
        <v>14598.5</v>
      </c>
      <c r="O441" s="2">
        <v>3534.75</v>
      </c>
      <c r="P441" s="2">
        <v>20.94</v>
      </c>
    </row>
    <row r="442" spans="1:16" x14ac:dyDescent="0.25">
      <c r="A442" t="s">
        <v>15</v>
      </c>
      <c r="B442" t="s">
        <v>653</v>
      </c>
      <c r="C442" t="s">
        <v>17</v>
      </c>
      <c r="D442" t="s">
        <v>672</v>
      </c>
      <c r="E442" t="s">
        <v>19</v>
      </c>
      <c r="F442" t="s">
        <v>404</v>
      </c>
      <c r="G442" s="1">
        <f>45723</f>
        <v>45723</v>
      </c>
      <c r="H442" t="s">
        <v>51</v>
      </c>
      <c r="I442" s="2">
        <v>643.70000000000005</v>
      </c>
      <c r="J442" s="2">
        <v>442.78</v>
      </c>
      <c r="K442" s="2">
        <v>200.92</v>
      </c>
      <c r="L442" s="2">
        <v>31.21</v>
      </c>
      <c r="M442" s="2">
        <v>643.70000000000005</v>
      </c>
      <c r="N442" s="2">
        <v>442.78</v>
      </c>
      <c r="O442" s="2">
        <v>191.92</v>
      </c>
      <c r="P442" s="2">
        <v>31.21</v>
      </c>
    </row>
    <row r="443" spans="1:16" x14ac:dyDescent="0.25">
      <c r="A443" t="s">
        <v>15</v>
      </c>
      <c r="B443" t="s">
        <v>653</v>
      </c>
      <c r="C443" t="s">
        <v>17</v>
      </c>
      <c r="D443" t="s">
        <v>673</v>
      </c>
      <c r="E443" t="s">
        <v>19</v>
      </c>
      <c r="F443" t="s">
        <v>181</v>
      </c>
      <c r="G443" s="1">
        <f>45734</f>
        <v>45734</v>
      </c>
      <c r="H443" t="s">
        <v>51</v>
      </c>
      <c r="I443" s="2">
        <v>511.9</v>
      </c>
      <c r="J443" s="2">
        <v>351.2</v>
      </c>
      <c r="K443" s="2">
        <v>160.69999999999999</v>
      </c>
      <c r="L443" s="2">
        <v>31.39</v>
      </c>
      <c r="M443" s="2">
        <v>511.9</v>
      </c>
      <c r="N443" s="2">
        <v>351.2</v>
      </c>
      <c r="O443" s="2">
        <v>120.7</v>
      </c>
      <c r="P443" s="2">
        <v>31.39</v>
      </c>
    </row>
    <row r="444" spans="1:16" x14ac:dyDescent="0.25">
      <c r="A444" t="s">
        <v>15</v>
      </c>
      <c r="B444" t="s">
        <v>653</v>
      </c>
      <c r="C444" t="s">
        <v>17</v>
      </c>
      <c r="D444" t="s">
        <v>674</v>
      </c>
      <c r="E444" t="s">
        <v>19</v>
      </c>
      <c r="F444" t="s">
        <v>184</v>
      </c>
      <c r="G444" s="1">
        <f>45734</f>
        <v>45734</v>
      </c>
      <c r="H444" t="s">
        <v>51</v>
      </c>
      <c r="I444" s="2">
        <v>368.7</v>
      </c>
      <c r="J444" s="2">
        <v>241.92</v>
      </c>
      <c r="K444" s="2">
        <v>126.78</v>
      </c>
      <c r="L444" s="2">
        <v>34.39</v>
      </c>
      <c r="M444" s="2">
        <v>368.7</v>
      </c>
      <c r="N444" s="2">
        <v>241.51</v>
      </c>
      <c r="O444" s="2">
        <v>86.19</v>
      </c>
      <c r="P444" s="2">
        <v>34.5</v>
      </c>
    </row>
    <row r="445" spans="1:16" x14ac:dyDescent="0.25">
      <c r="A445" t="s">
        <v>15</v>
      </c>
      <c r="B445" t="s">
        <v>653</v>
      </c>
      <c r="C445" t="s">
        <v>17</v>
      </c>
      <c r="D445" t="s">
        <v>675</v>
      </c>
      <c r="E445" t="s">
        <v>19</v>
      </c>
      <c r="F445" t="s">
        <v>676</v>
      </c>
      <c r="G445" s="1">
        <f>45733</f>
        <v>45733</v>
      </c>
      <c r="H445" t="s">
        <v>51</v>
      </c>
      <c r="I445" s="2">
        <v>1530.2</v>
      </c>
      <c r="J445" s="2">
        <v>1046.58</v>
      </c>
      <c r="K445" s="2">
        <v>483.62</v>
      </c>
      <c r="L445" s="2">
        <v>31.61</v>
      </c>
      <c r="M445" s="2">
        <v>1530.2</v>
      </c>
      <c r="N445" s="2">
        <v>1046.58</v>
      </c>
      <c r="O445" s="2">
        <v>443.62</v>
      </c>
      <c r="P445" s="2">
        <v>31.61</v>
      </c>
    </row>
    <row r="446" spans="1:16" x14ac:dyDescent="0.25">
      <c r="A446" t="s">
        <v>15</v>
      </c>
      <c r="B446" t="s">
        <v>653</v>
      </c>
      <c r="C446" t="s">
        <v>17</v>
      </c>
      <c r="D446" t="s">
        <v>677</v>
      </c>
      <c r="E446" t="s">
        <v>19</v>
      </c>
      <c r="F446" t="s">
        <v>404</v>
      </c>
      <c r="G446" s="1">
        <f>45736</f>
        <v>45736</v>
      </c>
      <c r="H446" t="s">
        <v>2422</v>
      </c>
      <c r="I446" s="2">
        <v>683.2</v>
      </c>
      <c r="J446" s="2">
        <v>457.3</v>
      </c>
      <c r="K446" s="2">
        <v>225.9</v>
      </c>
      <c r="L446" s="2">
        <v>33.06</v>
      </c>
      <c r="M446" s="2">
        <v>683.2</v>
      </c>
      <c r="N446" s="2">
        <v>457.3</v>
      </c>
      <c r="O446" s="2">
        <v>215.9</v>
      </c>
      <c r="P446" s="2">
        <v>33.06</v>
      </c>
    </row>
    <row r="447" spans="1:16" x14ac:dyDescent="0.25">
      <c r="A447" t="s">
        <v>15</v>
      </c>
      <c r="B447" t="s">
        <v>653</v>
      </c>
      <c r="C447" t="s">
        <v>17</v>
      </c>
      <c r="D447" t="s">
        <v>678</v>
      </c>
      <c r="E447" t="s">
        <v>19</v>
      </c>
      <c r="F447" t="s">
        <v>679</v>
      </c>
      <c r="G447" s="1">
        <f>45740</f>
        <v>45740</v>
      </c>
      <c r="H447" t="s">
        <v>51</v>
      </c>
      <c r="I447" s="2">
        <v>712</v>
      </c>
      <c r="J447" s="2">
        <v>553.33000000000004</v>
      </c>
      <c r="K447" s="2">
        <v>158.66999999999999</v>
      </c>
      <c r="L447" s="2">
        <v>22.29</v>
      </c>
      <c r="M447" s="2">
        <v>712</v>
      </c>
      <c r="N447" s="2">
        <v>553.33000000000004</v>
      </c>
      <c r="O447" s="2">
        <v>119.67</v>
      </c>
      <c r="P447" s="2">
        <v>22.29</v>
      </c>
    </row>
    <row r="448" spans="1:16" x14ac:dyDescent="0.25">
      <c r="A448" t="s">
        <v>15</v>
      </c>
      <c r="B448" t="s">
        <v>653</v>
      </c>
      <c r="C448" t="s">
        <v>17</v>
      </c>
      <c r="D448" t="s">
        <v>680</v>
      </c>
      <c r="E448" t="s">
        <v>19</v>
      </c>
      <c r="F448" t="s">
        <v>491</v>
      </c>
      <c r="G448" s="1">
        <f>45740</f>
        <v>45740</v>
      </c>
      <c r="H448" t="s">
        <v>51</v>
      </c>
      <c r="I448" s="2">
        <v>1608.65</v>
      </c>
      <c r="J448" s="2">
        <v>1057.48</v>
      </c>
      <c r="K448" s="2">
        <v>551.16</v>
      </c>
      <c r="L448" s="2">
        <v>34.26</v>
      </c>
      <c r="M448" s="2">
        <v>1608.65</v>
      </c>
      <c r="N448" s="2">
        <v>1057.48</v>
      </c>
      <c r="O448" s="2">
        <v>526.58000000000004</v>
      </c>
      <c r="P448" s="2">
        <v>34.26</v>
      </c>
    </row>
    <row r="449" spans="1:16" x14ac:dyDescent="0.25">
      <c r="A449" t="s">
        <v>15</v>
      </c>
      <c r="B449" t="s">
        <v>653</v>
      </c>
      <c r="C449" t="s">
        <v>17</v>
      </c>
      <c r="D449" t="s">
        <v>681</v>
      </c>
      <c r="E449" t="s">
        <v>19</v>
      </c>
      <c r="F449" t="s">
        <v>265</v>
      </c>
      <c r="G449" s="1">
        <f>45740</f>
        <v>45740</v>
      </c>
      <c r="H449" t="s">
        <v>51</v>
      </c>
      <c r="I449" s="2">
        <v>199.44</v>
      </c>
      <c r="J449" s="2">
        <v>130.72</v>
      </c>
      <c r="K449" s="2">
        <v>68.72</v>
      </c>
      <c r="L449" s="2">
        <v>34.46</v>
      </c>
      <c r="M449" s="2">
        <v>199.44</v>
      </c>
      <c r="N449" s="2">
        <v>130.72</v>
      </c>
      <c r="O449" s="2">
        <v>59.72</v>
      </c>
      <c r="P449" s="2">
        <v>34.46</v>
      </c>
    </row>
    <row r="450" spans="1:16" x14ac:dyDescent="0.25">
      <c r="A450" t="s">
        <v>15</v>
      </c>
      <c r="B450" t="s">
        <v>653</v>
      </c>
      <c r="C450" t="s">
        <v>17</v>
      </c>
      <c r="D450" t="s">
        <v>682</v>
      </c>
      <c r="E450" t="s">
        <v>19</v>
      </c>
      <c r="F450" t="s">
        <v>184</v>
      </c>
      <c r="G450" s="1">
        <f>45740</f>
        <v>45740</v>
      </c>
      <c r="H450" t="s">
        <v>51</v>
      </c>
      <c r="I450" s="2">
        <v>233.33</v>
      </c>
      <c r="J450" s="2">
        <v>152.69999999999999</v>
      </c>
      <c r="K450" s="2">
        <v>80.63</v>
      </c>
      <c r="L450" s="2">
        <v>34.56</v>
      </c>
      <c r="M450" s="2">
        <v>233.33</v>
      </c>
      <c r="N450" s="2">
        <v>152.69999999999999</v>
      </c>
      <c r="O450" s="2">
        <v>48.63</v>
      </c>
      <c r="P450" s="2">
        <v>34.56</v>
      </c>
    </row>
    <row r="451" spans="1:16" x14ac:dyDescent="0.25">
      <c r="A451" t="s">
        <v>15</v>
      </c>
      <c r="B451" t="s">
        <v>653</v>
      </c>
      <c r="C451" t="s">
        <v>17</v>
      </c>
      <c r="D451" t="s">
        <v>683</v>
      </c>
      <c r="E451" t="s">
        <v>19</v>
      </c>
      <c r="F451" t="s">
        <v>50</v>
      </c>
      <c r="G451" s="1">
        <f>45747</f>
        <v>45747</v>
      </c>
      <c r="H451" t="s">
        <v>51</v>
      </c>
      <c r="I451" s="2">
        <v>6758.35</v>
      </c>
      <c r="J451" s="2">
        <v>4523.75</v>
      </c>
      <c r="K451" s="2">
        <v>2234.6</v>
      </c>
      <c r="L451" s="2">
        <v>33.06</v>
      </c>
      <c r="M451" s="2">
        <v>6758.35</v>
      </c>
      <c r="N451" s="2">
        <v>4523.75</v>
      </c>
      <c r="O451" s="2">
        <v>2189.6</v>
      </c>
      <c r="P451" s="2">
        <v>33.06</v>
      </c>
    </row>
    <row r="452" spans="1:16" x14ac:dyDescent="0.25">
      <c r="A452" t="s">
        <v>15</v>
      </c>
      <c r="B452" t="s">
        <v>653</v>
      </c>
      <c r="C452" t="s">
        <v>17</v>
      </c>
      <c r="D452" t="s">
        <v>684</v>
      </c>
      <c r="E452" t="s">
        <v>19</v>
      </c>
      <c r="F452" t="s">
        <v>489</v>
      </c>
      <c r="G452" s="1">
        <f>45747</f>
        <v>45747</v>
      </c>
      <c r="H452" t="s">
        <v>51</v>
      </c>
      <c r="I452" s="2">
        <v>1241.95</v>
      </c>
      <c r="J452" s="2">
        <v>842.74</v>
      </c>
      <c r="K452" s="2">
        <v>399.21</v>
      </c>
      <c r="L452" s="2">
        <v>32.14</v>
      </c>
      <c r="M452" s="2">
        <v>1241.95</v>
      </c>
      <c r="N452" s="2">
        <v>842.74</v>
      </c>
      <c r="O452" s="2">
        <v>357.21</v>
      </c>
      <c r="P452" s="2">
        <v>32.14</v>
      </c>
    </row>
    <row r="453" spans="1:16" x14ac:dyDescent="0.25">
      <c r="A453" t="s">
        <v>15</v>
      </c>
      <c r="B453" t="s">
        <v>653</v>
      </c>
      <c r="C453" t="s">
        <v>58</v>
      </c>
      <c r="D453" t="s">
        <v>685</v>
      </c>
      <c r="E453" t="s">
        <v>47</v>
      </c>
      <c r="F453" t="s">
        <v>159</v>
      </c>
      <c r="G453" s="1">
        <f>45719</f>
        <v>45719</v>
      </c>
      <c r="H453" t="s">
        <v>84</v>
      </c>
      <c r="I453" s="2">
        <v>0</v>
      </c>
      <c r="J453" s="2">
        <v>0</v>
      </c>
      <c r="K453" s="2">
        <v>0</v>
      </c>
      <c r="L453" s="2">
        <v>0</v>
      </c>
      <c r="M453" s="2">
        <v>45.4</v>
      </c>
      <c r="N453" s="2">
        <v>26.88</v>
      </c>
      <c r="O453" s="2">
        <v>18.52</v>
      </c>
      <c r="P453" s="2">
        <v>40.79</v>
      </c>
    </row>
    <row r="454" spans="1:16" x14ac:dyDescent="0.25">
      <c r="A454" t="s">
        <v>15</v>
      </c>
      <c r="B454" t="s">
        <v>653</v>
      </c>
      <c r="C454" t="s">
        <v>58</v>
      </c>
      <c r="D454" t="s">
        <v>686</v>
      </c>
      <c r="E454" t="s">
        <v>47</v>
      </c>
      <c r="F454" t="s">
        <v>152</v>
      </c>
      <c r="G454" s="1">
        <f>45719</f>
        <v>45719</v>
      </c>
      <c r="H454" t="s">
        <v>70</v>
      </c>
      <c r="I454" s="2">
        <v>0</v>
      </c>
      <c r="J454" s="2">
        <v>0</v>
      </c>
      <c r="K454" s="2">
        <v>0</v>
      </c>
      <c r="L454" s="2">
        <v>0</v>
      </c>
      <c r="M454" s="2">
        <v>55.92</v>
      </c>
      <c r="N454" s="2">
        <v>34.94</v>
      </c>
      <c r="O454" s="2">
        <v>20.98</v>
      </c>
      <c r="P454" s="2">
        <v>37.520000000000003</v>
      </c>
    </row>
    <row r="455" spans="1:16" x14ac:dyDescent="0.25">
      <c r="A455" t="s">
        <v>15</v>
      </c>
      <c r="B455" t="s">
        <v>653</v>
      </c>
      <c r="C455" t="s">
        <v>58</v>
      </c>
      <c r="D455" t="s">
        <v>687</v>
      </c>
      <c r="E455" t="s">
        <v>19</v>
      </c>
      <c r="F455" t="s">
        <v>131</v>
      </c>
      <c r="G455" s="1">
        <f>45719</f>
        <v>45719</v>
      </c>
      <c r="H455" t="s">
        <v>56</v>
      </c>
      <c r="I455" s="2">
        <v>1924.14</v>
      </c>
      <c r="J455" s="2">
        <v>1307.05</v>
      </c>
      <c r="K455" s="2">
        <v>617.09</v>
      </c>
      <c r="L455" s="2">
        <v>32.07</v>
      </c>
      <c r="M455" s="2">
        <v>1924.14</v>
      </c>
      <c r="N455" s="2">
        <v>1286.3900000000001</v>
      </c>
      <c r="O455" s="2">
        <v>568.75</v>
      </c>
      <c r="P455" s="2">
        <v>33.14</v>
      </c>
    </row>
    <row r="456" spans="1:16" x14ac:dyDescent="0.25">
      <c r="A456" t="s">
        <v>15</v>
      </c>
      <c r="B456" t="s">
        <v>653</v>
      </c>
      <c r="C456" t="s">
        <v>58</v>
      </c>
      <c r="D456" t="s">
        <v>688</v>
      </c>
      <c r="E456" t="s">
        <v>19</v>
      </c>
      <c r="F456" t="s">
        <v>450</v>
      </c>
      <c r="G456" s="1">
        <f>45719</f>
        <v>45719</v>
      </c>
      <c r="H456" t="s">
        <v>56</v>
      </c>
      <c r="I456" s="2">
        <v>529.29999999999995</v>
      </c>
      <c r="J456" s="2">
        <v>348.55</v>
      </c>
      <c r="K456" s="2">
        <v>180.75</v>
      </c>
      <c r="L456" s="2">
        <v>34.15</v>
      </c>
      <c r="M456" s="2">
        <v>529.29999999999995</v>
      </c>
      <c r="N456" s="2">
        <v>348.55</v>
      </c>
      <c r="O456" s="2">
        <v>131.75</v>
      </c>
      <c r="P456" s="2">
        <v>34.15</v>
      </c>
    </row>
    <row r="457" spans="1:16" x14ac:dyDescent="0.25">
      <c r="A457" t="s">
        <v>15</v>
      </c>
      <c r="B457" t="s">
        <v>653</v>
      </c>
      <c r="C457" t="s">
        <v>58</v>
      </c>
      <c r="D457" t="s">
        <v>689</v>
      </c>
      <c r="E457" t="s">
        <v>19</v>
      </c>
      <c r="F457" t="s">
        <v>450</v>
      </c>
      <c r="G457" s="1">
        <f>45719</f>
        <v>45719</v>
      </c>
      <c r="H457" t="s">
        <v>56</v>
      </c>
      <c r="I457" s="2">
        <v>270.8</v>
      </c>
      <c r="J457" s="2">
        <v>160.29</v>
      </c>
      <c r="K457" s="2">
        <v>110.51</v>
      </c>
      <c r="L457" s="2">
        <v>40.81</v>
      </c>
      <c r="M457" s="2">
        <v>270.8</v>
      </c>
      <c r="N457" s="2">
        <v>175.44</v>
      </c>
      <c r="O457" s="2">
        <v>86.36</v>
      </c>
      <c r="P457" s="2">
        <v>35.21</v>
      </c>
    </row>
    <row r="458" spans="1:16" x14ac:dyDescent="0.25">
      <c r="A458" t="s">
        <v>15</v>
      </c>
      <c r="B458" t="s">
        <v>653</v>
      </c>
      <c r="C458" t="s">
        <v>58</v>
      </c>
      <c r="D458" t="s">
        <v>690</v>
      </c>
      <c r="E458" t="s">
        <v>19</v>
      </c>
      <c r="F458" t="s">
        <v>131</v>
      </c>
      <c r="G458" s="1">
        <f>45719</f>
        <v>45719</v>
      </c>
      <c r="H458" t="s">
        <v>56</v>
      </c>
      <c r="I458" s="2">
        <v>338.24</v>
      </c>
      <c r="J458" s="2">
        <v>230</v>
      </c>
      <c r="K458" s="2">
        <v>108.24</v>
      </c>
      <c r="L458" s="2">
        <v>32</v>
      </c>
      <c r="M458" s="2">
        <v>338.24</v>
      </c>
      <c r="N458" s="2">
        <v>230</v>
      </c>
      <c r="O458" s="2">
        <v>108.24</v>
      </c>
      <c r="P458" s="2">
        <v>32</v>
      </c>
    </row>
    <row r="459" spans="1:16" x14ac:dyDescent="0.25">
      <c r="A459" t="s">
        <v>15</v>
      </c>
      <c r="B459" t="s">
        <v>653</v>
      </c>
      <c r="C459" t="s">
        <v>58</v>
      </c>
      <c r="D459" t="s">
        <v>691</v>
      </c>
      <c r="E459" t="s">
        <v>19</v>
      </c>
      <c r="F459" t="s">
        <v>692</v>
      </c>
      <c r="G459" s="1">
        <f>45720</f>
        <v>45720</v>
      </c>
      <c r="H459" t="s">
        <v>56</v>
      </c>
      <c r="I459" s="2">
        <v>4064.47</v>
      </c>
      <c r="J459" s="2">
        <v>2675.55</v>
      </c>
      <c r="K459" s="2">
        <v>1388.92</v>
      </c>
      <c r="L459" s="2">
        <v>34.17</v>
      </c>
      <c r="M459" s="2">
        <v>4061.27</v>
      </c>
      <c r="N459" s="2">
        <v>2150.5500000000002</v>
      </c>
      <c r="O459" s="2">
        <v>1896.72</v>
      </c>
      <c r="P459" s="2">
        <v>47.05</v>
      </c>
    </row>
    <row r="460" spans="1:16" x14ac:dyDescent="0.25">
      <c r="A460" t="s">
        <v>15</v>
      </c>
      <c r="B460" t="s">
        <v>653</v>
      </c>
      <c r="C460" t="s">
        <v>58</v>
      </c>
      <c r="D460" t="s">
        <v>693</v>
      </c>
      <c r="E460" t="s">
        <v>47</v>
      </c>
      <c r="F460" t="s">
        <v>73</v>
      </c>
      <c r="G460" s="1">
        <f>45720</f>
        <v>45720</v>
      </c>
      <c r="H460" t="s">
        <v>70</v>
      </c>
      <c r="I460" s="2">
        <v>0</v>
      </c>
      <c r="J460" s="2">
        <v>0</v>
      </c>
      <c r="K460" s="2">
        <v>0</v>
      </c>
      <c r="L460" s="2">
        <v>0</v>
      </c>
      <c r="M460" s="2">
        <v>235.4</v>
      </c>
      <c r="N460" s="2">
        <v>147.13</v>
      </c>
      <c r="O460" s="2">
        <v>88.27</v>
      </c>
      <c r="P460" s="2">
        <v>37.5</v>
      </c>
    </row>
    <row r="461" spans="1:16" x14ac:dyDescent="0.25">
      <c r="A461" t="s">
        <v>15</v>
      </c>
      <c r="B461" t="s">
        <v>653</v>
      </c>
      <c r="C461" t="s">
        <v>58</v>
      </c>
      <c r="D461" t="s">
        <v>694</v>
      </c>
      <c r="E461" t="s">
        <v>19</v>
      </c>
      <c r="F461" t="s">
        <v>408</v>
      </c>
      <c r="G461" s="1">
        <f>45720</f>
        <v>45720</v>
      </c>
      <c r="H461" t="s">
        <v>56</v>
      </c>
      <c r="I461" s="2">
        <v>1841.76</v>
      </c>
      <c r="J461" s="2">
        <v>1122.04</v>
      </c>
      <c r="K461" s="2">
        <v>719.72</v>
      </c>
      <c r="L461" s="2">
        <v>39.08</v>
      </c>
      <c r="M461" s="2">
        <v>1841.76</v>
      </c>
      <c r="N461" s="2">
        <v>1122.04</v>
      </c>
      <c r="O461" s="2">
        <v>629.72</v>
      </c>
      <c r="P461" s="2">
        <v>39.08</v>
      </c>
    </row>
    <row r="462" spans="1:16" x14ac:dyDescent="0.25">
      <c r="A462" t="s">
        <v>15</v>
      </c>
      <c r="B462" t="s">
        <v>653</v>
      </c>
      <c r="C462" t="s">
        <v>58</v>
      </c>
      <c r="D462" t="s">
        <v>695</v>
      </c>
      <c r="E462" t="s">
        <v>19</v>
      </c>
      <c r="F462" t="s">
        <v>64</v>
      </c>
      <c r="G462" s="1">
        <f>45720</f>
        <v>45720</v>
      </c>
      <c r="H462" t="s">
        <v>56</v>
      </c>
      <c r="I462" s="2">
        <v>1547.45</v>
      </c>
      <c r="J462" s="2">
        <v>1085.96</v>
      </c>
      <c r="K462" s="2">
        <v>461.49</v>
      </c>
      <c r="L462" s="2">
        <v>29.82</v>
      </c>
      <c r="M462" s="2">
        <v>1547.45</v>
      </c>
      <c r="N462" s="2">
        <v>1085.96</v>
      </c>
      <c r="O462" s="2">
        <v>356.49</v>
      </c>
      <c r="P462" s="2">
        <v>29.82</v>
      </c>
    </row>
    <row r="463" spans="1:16" x14ac:dyDescent="0.25">
      <c r="A463" t="s">
        <v>15</v>
      </c>
      <c r="B463" t="s">
        <v>653</v>
      </c>
      <c r="C463" t="s">
        <v>58</v>
      </c>
      <c r="D463" t="s">
        <v>696</v>
      </c>
      <c r="E463" t="s">
        <v>19</v>
      </c>
      <c r="F463" t="s">
        <v>408</v>
      </c>
      <c r="G463" s="1">
        <f>45720</f>
        <v>45720</v>
      </c>
      <c r="H463" t="s">
        <v>56</v>
      </c>
      <c r="I463" s="2">
        <v>1569.6</v>
      </c>
      <c r="J463" s="2">
        <v>970</v>
      </c>
      <c r="K463" s="2">
        <v>599.6</v>
      </c>
      <c r="L463" s="2">
        <v>38.200000000000003</v>
      </c>
      <c r="M463" s="2">
        <v>1569.6</v>
      </c>
      <c r="N463" s="2">
        <v>970</v>
      </c>
      <c r="O463" s="2">
        <v>549.6</v>
      </c>
      <c r="P463" s="2">
        <v>38.200000000000003</v>
      </c>
    </row>
    <row r="464" spans="1:16" x14ac:dyDescent="0.25">
      <c r="A464" t="s">
        <v>15</v>
      </c>
      <c r="B464" t="s">
        <v>653</v>
      </c>
      <c r="C464" t="s">
        <v>58</v>
      </c>
      <c r="D464" t="s">
        <v>697</v>
      </c>
      <c r="E464" t="s">
        <v>19</v>
      </c>
      <c r="F464" t="s">
        <v>698</v>
      </c>
      <c r="G464" s="1">
        <f>45721</f>
        <v>45721</v>
      </c>
      <c r="H464" t="s">
        <v>56</v>
      </c>
      <c r="I464" s="2">
        <v>2400</v>
      </c>
      <c r="J464" s="2">
        <v>1674.4</v>
      </c>
      <c r="K464" s="2">
        <v>725.6</v>
      </c>
      <c r="L464" s="2">
        <v>30.23</v>
      </c>
      <c r="M464" s="2">
        <v>2400</v>
      </c>
      <c r="N464" s="2">
        <v>1674.4</v>
      </c>
      <c r="O464" s="2">
        <v>707.6</v>
      </c>
      <c r="P464" s="2">
        <v>30.23</v>
      </c>
    </row>
    <row r="465" spans="1:16" x14ac:dyDescent="0.25">
      <c r="A465" t="s">
        <v>15</v>
      </c>
      <c r="B465" t="s">
        <v>653</v>
      </c>
      <c r="C465" t="s">
        <v>58</v>
      </c>
      <c r="D465" t="s">
        <v>699</v>
      </c>
      <c r="E465" t="s">
        <v>19</v>
      </c>
      <c r="F465" t="s">
        <v>67</v>
      </c>
      <c r="G465" s="1">
        <f>45721</f>
        <v>45721</v>
      </c>
      <c r="H465" t="s">
        <v>56</v>
      </c>
      <c r="I465" s="2">
        <v>167</v>
      </c>
      <c r="J465" s="2">
        <v>62</v>
      </c>
      <c r="K465" s="2">
        <v>105</v>
      </c>
      <c r="L465" s="2">
        <v>62.87</v>
      </c>
      <c r="M465" s="2">
        <v>167</v>
      </c>
      <c r="N465" s="2">
        <v>62</v>
      </c>
      <c r="O465" s="2">
        <v>96</v>
      </c>
      <c r="P465" s="2">
        <v>62.87</v>
      </c>
    </row>
    <row r="466" spans="1:16" x14ac:dyDescent="0.25">
      <c r="A466" t="s">
        <v>15</v>
      </c>
      <c r="B466" t="s">
        <v>653</v>
      </c>
      <c r="C466" t="s">
        <v>58</v>
      </c>
      <c r="D466" t="s">
        <v>700</v>
      </c>
      <c r="E466" t="s">
        <v>19</v>
      </c>
      <c r="F466" t="s">
        <v>480</v>
      </c>
      <c r="G466" s="1">
        <f>45721</f>
        <v>45721</v>
      </c>
      <c r="H466" t="s">
        <v>56</v>
      </c>
      <c r="I466" s="2">
        <v>207.2</v>
      </c>
      <c r="J466" s="2">
        <v>115.09</v>
      </c>
      <c r="K466" s="2">
        <v>92.11</v>
      </c>
      <c r="L466" s="2">
        <v>44.45</v>
      </c>
      <c r="M466" s="2">
        <v>207.2</v>
      </c>
      <c r="N466" s="2">
        <v>113.26</v>
      </c>
      <c r="O466" s="2">
        <v>68.94</v>
      </c>
      <c r="P466" s="2">
        <v>45.34</v>
      </c>
    </row>
    <row r="467" spans="1:16" x14ac:dyDescent="0.25">
      <c r="A467" t="s">
        <v>15</v>
      </c>
      <c r="B467" t="s">
        <v>653</v>
      </c>
      <c r="C467" t="s">
        <v>58</v>
      </c>
      <c r="D467" t="s">
        <v>701</v>
      </c>
      <c r="E467" t="s">
        <v>19</v>
      </c>
      <c r="F467" t="s">
        <v>702</v>
      </c>
      <c r="G467" s="1">
        <f>45721</f>
        <v>45721</v>
      </c>
      <c r="H467" t="s">
        <v>56</v>
      </c>
      <c r="I467" s="2">
        <v>12034.3</v>
      </c>
      <c r="J467" s="2">
        <v>8544.36</v>
      </c>
      <c r="K467" s="2">
        <v>3489.94</v>
      </c>
      <c r="L467" s="2">
        <v>29</v>
      </c>
      <c r="M467" s="2">
        <v>12034.3</v>
      </c>
      <c r="N467" s="2">
        <v>8544.36</v>
      </c>
      <c r="O467" s="2">
        <v>3453.94</v>
      </c>
      <c r="P467" s="2">
        <v>29</v>
      </c>
    </row>
    <row r="468" spans="1:16" x14ac:dyDescent="0.25">
      <c r="A468" t="s">
        <v>15</v>
      </c>
      <c r="B468" t="s">
        <v>653</v>
      </c>
      <c r="C468" t="s">
        <v>58</v>
      </c>
      <c r="D468" t="s">
        <v>703</v>
      </c>
      <c r="E468" t="s">
        <v>47</v>
      </c>
      <c r="F468" t="s">
        <v>73</v>
      </c>
      <c r="G468" s="1">
        <f>45721</f>
        <v>45721</v>
      </c>
      <c r="H468" t="s">
        <v>84</v>
      </c>
      <c r="I468" s="2">
        <v>0</v>
      </c>
      <c r="J468" s="2">
        <v>0</v>
      </c>
      <c r="K468" s="2">
        <v>0</v>
      </c>
      <c r="L468" s="2">
        <v>0</v>
      </c>
      <c r="M468" s="2">
        <v>308.64</v>
      </c>
      <c r="N468" s="2">
        <v>181.56</v>
      </c>
      <c r="O468" s="2">
        <v>127.08</v>
      </c>
      <c r="P468" s="2">
        <v>41.17</v>
      </c>
    </row>
    <row r="469" spans="1:16" x14ac:dyDescent="0.25">
      <c r="A469" t="s">
        <v>15</v>
      </c>
      <c r="B469" t="s">
        <v>653</v>
      </c>
      <c r="C469" t="s">
        <v>58</v>
      </c>
      <c r="D469" t="s">
        <v>704</v>
      </c>
      <c r="E469" t="s">
        <v>19</v>
      </c>
      <c r="F469" t="s">
        <v>705</v>
      </c>
      <c r="G469" s="1">
        <f>45722</f>
        <v>45722</v>
      </c>
      <c r="H469" t="s">
        <v>56</v>
      </c>
      <c r="I469" s="2">
        <v>492.56</v>
      </c>
      <c r="J469" s="2">
        <v>319.33999999999997</v>
      </c>
      <c r="K469" s="2">
        <v>173.22</v>
      </c>
      <c r="L469" s="2">
        <v>35.17</v>
      </c>
      <c r="M469" s="2">
        <v>492.56</v>
      </c>
      <c r="N469" s="2">
        <v>319.33999999999997</v>
      </c>
      <c r="O469" s="2">
        <v>114.22</v>
      </c>
      <c r="P469" s="2">
        <v>35.17</v>
      </c>
    </row>
    <row r="470" spans="1:16" x14ac:dyDescent="0.25">
      <c r="A470" t="s">
        <v>15</v>
      </c>
      <c r="B470" t="s">
        <v>653</v>
      </c>
      <c r="C470" t="s">
        <v>58</v>
      </c>
      <c r="D470" t="s">
        <v>706</v>
      </c>
      <c r="E470" t="s">
        <v>19</v>
      </c>
      <c r="F470" t="s">
        <v>64</v>
      </c>
      <c r="G470" s="1">
        <f>45722</f>
        <v>45722</v>
      </c>
      <c r="H470" t="s">
        <v>56</v>
      </c>
      <c r="I470" s="2">
        <v>308.88</v>
      </c>
      <c r="J470" s="2">
        <v>227.86</v>
      </c>
      <c r="K470" s="2">
        <v>81.02</v>
      </c>
      <c r="L470" s="2">
        <v>26.23</v>
      </c>
      <c r="M470" s="2">
        <v>308.88</v>
      </c>
      <c r="N470" s="2">
        <v>223.9</v>
      </c>
      <c r="O470" s="2">
        <v>84.98</v>
      </c>
      <c r="P470" s="2">
        <v>27.51</v>
      </c>
    </row>
    <row r="471" spans="1:16" x14ac:dyDescent="0.25">
      <c r="A471" t="s">
        <v>15</v>
      </c>
      <c r="B471" t="s">
        <v>653</v>
      </c>
      <c r="C471" t="s">
        <v>58</v>
      </c>
      <c r="D471" t="s">
        <v>707</v>
      </c>
      <c r="E471" t="s">
        <v>19</v>
      </c>
      <c r="F471" t="s">
        <v>465</v>
      </c>
      <c r="G471" s="1">
        <f>45722</f>
        <v>45722</v>
      </c>
      <c r="H471" t="s">
        <v>56</v>
      </c>
      <c r="I471" s="2">
        <v>4045.8</v>
      </c>
      <c r="J471" s="2">
        <v>2624.05</v>
      </c>
      <c r="K471" s="2">
        <v>1421.75</v>
      </c>
      <c r="L471" s="2">
        <v>35.14</v>
      </c>
      <c r="M471" s="2">
        <v>4045.8</v>
      </c>
      <c r="N471" s="2">
        <v>2624.05</v>
      </c>
      <c r="O471" s="2">
        <v>1391.55</v>
      </c>
      <c r="P471" s="2">
        <v>35.14</v>
      </c>
    </row>
    <row r="472" spans="1:16" x14ac:dyDescent="0.25">
      <c r="A472" t="s">
        <v>15</v>
      </c>
      <c r="B472" t="s">
        <v>653</v>
      </c>
      <c r="C472" t="s">
        <v>58</v>
      </c>
      <c r="D472" t="s">
        <v>708</v>
      </c>
      <c r="E472" t="s">
        <v>19</v>
      </c>
      <c r="F472" t="s">
        <v>408</v>
      </c>
      <c r="G472" s="1">
        <f>45722</f>
        <v>45722</v>
      </c>
      <c r="H472" t="s">
        <v>56</v>
      </c>
      <c r="I472" s="2">
        <v>2470</v>
      </c>
      <c r="J472" s="2">
        <v>1533.52</v>
      </c>
      <c r="K472" s="2">
        <v>936.48</v>
      </c>
      <c r="L472" s="2">
        <v>37.909999999999997</v>
      </c>
      <c r="M472" s="2">
        <v>2470</v>
      </c>
      <c r="N472" s="2">
        <v>1575.52</v>
      </c>
      <c r="O472" s="2">
        <v>762.48</v>
      </c>
      <c r="P472" s="2">
        <v>36.21</v>
      </c>
    </row>
    <row r="473" spans="1:16" x14ac:dyDescent="0.25">
      <c r="A473" t="s">
        <v>15</v>
      </c>
      <c r="B473" t="s">
        <v>653</v>
      </c>
      <c r="C473" t="s">
        <v>58</v>
      </c>
      <c r="D473" t="s">
        <v>709</v>
      </c>
      <c r="E473" t="s">
        <v>19</v>
      </c>
      <c r="F473" t="s">
        <v>710</v>
      </c>
      <c r="G473" s="1">
        <f>45722</f>
        <v>45722</v>
      </c>
      <c r="H473" t="s">
        <v>56</v>
      </c>
      <c r="I473" s="2">
        <v>1231.6300000000001</v>
      </c>
      <c r="J473" s="2">
        <v>824.71</v>
      </c>
      <c r="K473" s="2">
        <v>406.92</v>
      </c>
      <c r="L473" s="2">
        <v>33.04</v>
      </c>
      <c r="M473" s="2">
        <v>1231.6300000000001</v>
      </c>
      <c r="N473" s="2">
        <v>824.71</v>
      </c>
      <c r="O473" s="2">
        <v>388.92</v>
      </c>
      <c r="P473" s="2">
        <v>33.04</v>
      </c>
    </row>
    <row r="474" spans="1:16" x14ac:dyDescent="0.25">
      <c r="A474" t="s">
        <v>15</v>
      </c>
      <c r="B474" t="s">
        <v>653</v>
      </c>
      <c r="C474" t="s">
        <v>58</v>
      </c>
      <c r="D474" t="s">
        <v>711</v>
      </c>
      <c r="E474" t="s">
        <v>19</v>
      </c>
      <c r="F474" t="s">
        <v>419</v>
      </c>
      <c r="G474" s="1">
        <f>45722</f>
        <v>45722</v>
      </c>
      <c r="H474" t="s">
        <v>56</v>
      </c>
      <c r="I474" s="2">
        <v>160.87</v>
      </c>
      <c r="J474" s="2">
        <v>94.52</v>
      </c>
      <c r="K474" s="2">
        <v>66.349999999999994</v>
      </c>
      <c r="L474" s="2">
        <v>41.24</v>
      </c>
      <c r="M474" s="2">
        <v>160.87</v>
      </c>
      <c r="N474" s="2">
        <v>94.52</v>
      </c>
      <c r="O474" s="2">
        <v>16.350000000000001</v>
      </c>
      <c r="P474" s="2">
        <v>41.24</v>
      </c>
    </row>
    <row r="475" spans="1:16" x14ac:dyDescent="0.25">
      <c r="A475" t="s">
        <v>15</v>
      </c>
      <c r="B475" t="s">
        <v>653</v>
      </c>
      <c r="C475" t="s">
        <v>58</v>
      </c>
      <c r="D475" t="s">
        <v>712</v>
      </c>
      <c r="E475" t="s">
        <v>19</v>
      </c>
      <c r="F475" t="s">
        <v>713</v>
      </c>
      <c r="G475" s="1">
        <f>45723</f>
        <v>45723</v>
      </c>
      <c r="H475" t="s">
        <v>56</v>
      </c>
      <c r="I475" s="2">
        <v>2774.06</v>
      </c>
      <c r="J475" s="2">
        <v>1792</v>
      </c>
      <c r="K475" s="2">
        <v>982.06</v>
      </c>
      <c r="L475" s="2">
        <v>35.4</v>
      </c>
      <c r="M475" s="2">
        <v>2774.06</v>
      </c>
      <c r="N475" s="2">
        <v>1792</v>
      </c>
      <c r="O475" s="2">
        <v>907.06</v>
      </c>
      <c r="P475" s="2">
        <v>35.4</v>
      </c>
    </row>
    <row r="476" spans="1:16" x14ac:dyDescent="0.25">
      <c r="A476" t="s">
        <v>15</v>
      </c>
      <c r="B476" t="s">
        <v>653</v>
      </c>
      <c r="C476" t="s">
        <v>58</v>
      </c>
      <c r="D476" t="s">
        <v>714</v>
      </c>
      <c r="E476" t="s">
        <v>19</v>
      </c>
      <c r="F476" t="s">
        <v>103</v>
      </c>
      <c r="G476" s="1">
        <f>45723</f>
        <v>45723</v>
      </c>
      <c r="H476" t="s">
        <v>56</v>
      </c>
      <c r="I476" s="2">
        <v>242.74</v>
      </c>
      <c r="J476" s="2">
        <v>119.37</v>
      </c>
      <c r="K476" s="2">
        <v>123.37</v>
      </c>
      <c r="L476" s="2">
        <v>50.82</v>
      </c>
      <c r="M476" s="2">
        <v>242.74</v>
      </c>
      <c r="N476" s="2">
        <v>126.57</v>
      </c>
      <c r="O476" s="2">
        <v>107.17</v>
      </c>
      <c r="P476" s="2">
        <v>47.86</v>
      </c>
    </row>
    <row r="477" spans="1:16" x14ac:dyDescent="0.25">
      <c r="A477" t="s">
        <v>15</v>
      </c>
      <c r="B477" t="s">
        <v>653</v>
      </c>
      <c r="C477" t="s">
        <v>58</v>
      </c>
      <c r="D477" t="s">
        <v>715</v>
      </c>
      <c r="E477" t="s">
        <v>19</v>
      </c>
      <c r="F477" t="s">
        <v>86</v>
      </c>
      <c r="G477" s="1">
        <f>45723</f>
        <v>45723</v>
      </c>
      <c r="H477" t="s">
        <v>56</v>
      </c>
      <c r="I477" s="2">
        <v>393.18</v>
      </c>
      <c r="J477" s="2">
        <v>260</v>
      </c>
      <c r="K477" s="2">
        <v>133.18</v>
      </c>
      <c r="L477" s="2">
        <v>33.869999999999997</v>
      </c>
      <c r="M477" s="2">
        <v>393.18</v>
      </c>
      <c r="N477" s="2">
        <v>260</v>
      </c>
      <c r="O477" s="2">
        <v>124.18</v>
      </c>
      <c r="P477" s="2">
        <v>33.869999999999997</v>
      </c>
    </row>
    <row r="478" spans="1:16" x14ac:dyDescent="0.25">
      <c r="A478" t="s">
        <v>15</v>
      </c>
      <c r="B478" t="s">
        <v>653</v>
      </c>
      <c r="C478" t="s">
        <v>58</v>
      </c>
      <c r="D478" t="s">
        <v>716</v>
      </c>
      <c r="E478" t="s">
        <v>19</v>
      </c>
      <c r="F478" t="s">
        <v>67</v>
      </c>
      <c r="G478" s="1">
        <f>45723</f>
        <v>45723</v>
      </c>
      <c r="H478" t="s">
        <v>56</v>
      </c>
      <c r="I478" s="2">
        <v>1828.62</v>
      </c>
      <c r="J478" s="2">
        <v>1228.5</v>
      </c>
      <c r="K478" s="2">
        <v>600.12</v>
      </c>
      <c r="L478" s="2">
        <v>32.82</v>
      </c>
      <c r="M478" s="2">
        <v>1828.62</v>
      </c>
      <c r="N478" s="2">
        <v>1228.5</v>
      </c>
      <c r="O478" s="2">
        <v>600.12</v>
      </c>
      <c r="P478" s="2">
        <v>32.82</v>
      </c>
    </row>
    <row r="479" spans="1:16" x14ac:dyDescent="0.25">
      <c r="A479" t="s">
        <v>15</v>
      </c>
      <c r="B479" t="s">
        <v>653</v>
      </c>
      <c r="C479" t="s">
        <v>58</v>
      </c>
      <c r="D479" t="s">
        <v>717</v>
      </c>
      <c r="E479" t="s">
        <v>47</v>
      </c>
      <c r="F479" t="s">
        <v>73</v>
      </c>
      <c r="G479" s="1">
        <f>45726</f>
        <v>45726</v>
      </c>
      <c r="H479" t="s">
        <v>84</v>
      </c>
      <c r="I479" s="2">
        <v>0</v>
      </c>
      <c r="J479" s="2">
        <v>0</v>
      </c>
      <c r="K479" s="2">
        <v>0</v>
      </c>
      <c r="L479" s="2">
        <v>0</v>
      </c>
      <c r="M479" s="2">
        <v>373.06</v>
      </c>
      <c r="N479" s="2">
        <v>219.48</v>
      </c>
      <c r="O479" s="2">
        <v>153.58000000000001</v>
      </c>
      <c r="P479" s="2">
        <v>41.17</v>
      </c>
    </row>
    <row r="480" spans="1:16" x14ac:dyDescent="0.25">
      <c r="A480" t="s">
        <v>15</v>
      </c>
      <c r="B480" t="s">
        <v>653</v>
      </c>
      <c r="C480" t="s">
        <v>58</v>
      </c>
      <c r="D480" t="s">
        <v>718</v>
      </c>
      <c r="E480" t="s">
        <v>47</v>
      </c>
      <c r="F480" t="s">
        <v>134</v>
      </c>
      <c r="G480" s="1">
        <f>45728</f>
        <v>45728</v>
      </c>
      <c r="H480" t="s">
        <v>70</v>
      </c>
      <c r="I480" s="2">
        <v>0</v>
      </c>
      <c r="J480" s="2">
        <v>0</v>
      </c>
      <c r="K480" s="2">
        <v>0</v>
      </c>
      <c r="L480" s="2">
        <v>0</v>
      </c>
      <c r="M480" s="2">
        <v>12.94</v>
      </c>
      <c r="N480" s="2">
        <v>8.08</v>
      </c>
      <c r="O480" s="2">
        <v>4.8600000000000003</v>
      </c>
      <c r="P480" s="2">
        <v>37.56</v>
      </c>
    </row>
    <row r="481" spans="1:16" x14ac:dyDescent="0.25">
      <c r="A481" t="s">
        <v>15</v>
      </c>
      <c r="B481" t="s">
        <v>653</v>
      </c>
      <c r="C481" t="s">
        <v>58</v>
      </c>
      <c r="D481" t="s">
        <v>719</v>
      </c>
      <c r="E481" t="s">
        <v>47</v>
      </c>
      <c r="F481" t="s">
        <v>720</v>
      </c>
      <c r="G481" s="1">
        <f>45728</f>
        <v>45728</v>
      </c>
      <c r="H481" t="s">
        <v>70</v>
      </c>
      <c r="I481" s="2">
        <v>0</v>
      </c>
      <c r="J481" s="2">
        <v>0</v>
      </c>
      <c r="K481" s="2">
        <v>0</v>
      </c>
      <c r="L481" s="2">
        <v>0</v>
      </c>
      <c r="M481" s="2">
        <v>212.16</v>
      </c>
      <c r="N481" s="2">
        <v>132.57</v>
      </c>
      <c r="O481" s="2">
        <v>79.59</v>
      </c>
      <c r="P481" s="2">
        <v>37.51</v>
      </c>
    </row>
    <row r="482" spans="1:16" x14ac:dyDescent="0.25">
      <c r="A482" t="s">
        <v>15</v>
      </c>
      <c r="B482" t="s">
        <v>653</v>
      </c>
      <c r="C482" t="s">
        <v>58</v>
      </c>
      <c r="D482" t="s">
        <v>721</v>
      </c>
      <c r="E482" t="s">
        <v>19</v>
      </c>
      <c r="F482" t="s">
        <v>722</v>
      </c>
      <c r="G482" s="1">
        <f>45728</f>
        <v>45728</v>
      </c>
      <c r="H482" t="s">
        <v>56</v>
      </c>
      <c r="I482" s="2">
        <v>458.2</v>
      </c>
      <c r="J482" s="2">
        <v>225.3</v>
      </c>
      <c r="K482" s="2">
        <v>232.9</v>
      </c>
      <c r="L482" s="2">
        <v>50.83</v>
      </c>
      <c r="M482" s="2">
        <v>458.2</v>
      </c>
      <c r="N482" s="2">
        <v>225.3</v>
      </c>
      <c r="O482" s="2">
        <v>203.9</v>
      </c>
      <c r="P482" s="2">
        <v>50.83</v>
      </c>
    </row>
    <row r="483" spans="1:16" x14ac:dyDescent="0.25">
      <c r="A483" t="s">
        <v>15</v>
      </c>
      <c r="B483" t="s">
        <v>653</v>
      </c>
      <c r="C483" t="s">
        <v>58</v>
      </c>
      <c r="D483" t="s">
        <v>723</v>
      </c>
      <c r="E483" t="s">
        <v>19</v>
      </c>
      <c r="F483" t="s">
        <v>724</v>
      </c>
      <c r="G483" s="1">
        <f>45728</f>
        <v>45728</v>
      </c>
      <c r="H483" t="s">
        <v>56</v>
      </c>
      <c r="I483" s="2">
        <v>280.39999999999998</v>
      </c>
      <c r="J483" s="2">
        <v>181.86</v>
      </c>
      <c r="K483" s="2">
        <v>98.54</v>
      </c>
      <c r="L483" s="2">
        <v>35.14</v>
      </c>
      <c r="M483" s="2">
        <v>280.39999999999998</v>
      </c>
      <c r="N483" s="2">
        <v>181.86</v>
      </c>
      <c r="O483" s="2">
        <v>83.54</v>
      </c>
      <c r="P483" s="2">
        <v>35.14</v>
      </c>
    </row>
    <row r="484" spans="1:16" x14ac:dyDescent="0.25">
      <c r="A484" t="s">
        <v>15</v>
      </c>
      <c r="B484" t="s">
        <v>653</v>
      </c>
      <c r="C484" t="s">
        <v>58</v>
      </c>
      <c r="D484" t="s">
        <v>725</v>
      </c>
      <c r="E484" t="s">
        <v>47</v>
      </c>
      <c r="F484" t="s">
        <v>476</v>
      </c>
      <c r="G484" s="1">
        <f>45728</f>
        <v>45728</v>
      </c>
      <c r="H484" t="s">
        <v>70</v>
      </c>
      <c r="I484" s="2">
        <v>0</v>
      </c>
      <c r="J484" s="2">
        <v>0</v>
      </c>
      <c r="K484" s="2">
        <v>0</v>
      </c>
      <c r="L484" s="2">
        <v>0</v>
      </c>
      <c r="M484" s="2">
        <v>24.56</v>
      </c>
      <c r="N484" s="2">
        <v>15.35</v>
      </c>
      <c r="O484" s="2">
        <v>9.2100000000000009</v>
      </c>
      <c r="P484" s="2">
        <v>37.5</v>
      </c>
    </row>
    <row r="485" spans="1:16" x14ac:dyDescent="0.25">
      <c r="A485" t="s">
        <v>15</v>
      </c>
      <c r="B485" t="s">
        <v>653</v>
      </c>
      <c r="C485" t="s">
        <v>58</v>
      </c>
      <c r="D485" t="s">
        <v>726</v>
      </c>
      <c r="E485" t="s">
        <v>19</v>
      </c>
      <c r="F485" t="s">
        <v>131</v>
      </c>
      <c r="G485" s="1">
        <f>45728</f>
        <v>45728</v>
      </c>
      <c r="H485" t="s">
        <v>56</v>
      </c>
      <c r="I485" s="2">
        <v>4363.3100000000004</v>
      </c>
      <c r="J485" s="2">
        <v>2967</v>
      </c>
      <c r="K485" s="2">
        <v>1396.31</v>
      </c>
      <c r="L485" s="2">
        <v>32</v>
      </c>
      <c r="M485" s="2">
        <v>4363.3100000000004</v>
      </c>
      <c r="N485" s="2">
        <v>2967</v>
      </c>
      <c r="O485" s="2">
        <v>1396.31</v>
      </c>
      <c r="P485" s="2">
        <v>32</v>
      </c>
    </row>
    <row r="486" spans="1:16" x14ac:dyDescent="0.25">
      <c r="A486" t="s">
        <v>15</v>
      </c>
      <c r="B486" t="s">
        <v>653</v>
      </c>
      <c r="C486" t="s">
        <v>58</v>
      </c>
      <c r="D486" t="s">
        <v>727</v>
      </c>
      <c r="E486" t="s">
        <v>19</v>
      </c>
      <c r="F486" t="s">
        <v>728</v>
      </c>
      <c r="G486" s="1">
        <f>45728</f>
        <v>45728</v>
      </c>
      <c r="H486" t="s">
        <v>56</v>
      </c>
      <c r="I486" s="2">
        <v>251.4</v>
      </c>
      <c r="J486" s="2">
        <v>174.1</v>
      </c>
      <c r="K486" s="2">
        <v>77.3</v>
      </c>
      <c r="L486" s="2">
        <v>30.75</v>
      </c>
      <c r="M486" s="2">
        <v>251.4</v>
      </c>
      <c r="N486" s="2">
        <v>174.1</v>
      </c>
      <c r="O486" s="2">
        <v>68.3</v>
      </c>
      <c r="P486" s="2">
        <v>30.75</v>
      </c>
    </row>
    <row r="487" spans="1:16" x14ac:dyDescent="0.25">
      <c r="A487" t="s">
        <v>15</v>
      </c>
      <c r="B487" t="s">
        <v>653</v>
      </c>
      <c r="C487" t="s">
        <v>58</v>
      </c>
      <c r="D487" t="s">
        <v>729</v>
      </c>
      <c r="E487" t="s">
        <v>19</v>
      </c>
      <c r="F487" t="s">
        <v>131</v>
      </c>
      <c r="G487" s="1">
        <f>45728</f>
        <v>45728</v>
      </c>
      <c r="H487" t="s">
        <v>56</v>
      </c>
      <c r="I487" s="2">
        <v>1045.52</v>
      </c>
      <c r="J487" s="2">
        <v>610.04999999999995</v>
      </c>
      <c r="K487" s="2">
        <v>435.47</v>
      </c>
      <c r="L487" s="2">
        <v>41.65</v>
      </c>
      <c r="M487" s="2">
        <v>1045.52</v>
      </c>
      <c r="N487" s="2">
        <v>608.72</v>
      </c>
      <c r="O487" s="2">
        <v>404.8</v>
      </c>
      <c r="P487" s="2">
        <v>41.78</v>
      </c>
    </row>
    <row r="488" spans="1:16" x14ac:dyDescent="0.25">
      <c r="A488" t="s">
        <v>15</v>
      </c>
      <c r="B488" t="s">
        <v>653</v>
      </c>
      <c r="C488" t="s">
        <v>58</v>
      </c>
      <c r="D488" t="s">
        <v>730</v>
      </c>
      <c r="E488" t="s">
        <v>19</v>
      </c>
      <c r="F488" t="s">
        <v>67</v>
      </c>
      <c r="G488" s="1">
        <f>45729</f>
        <v>45729</v>
      </c>
      <c r="H488" t="s">
        <v>56</v>
      </c>
      <c r="I488" s="2">
        <v>217.95</v>
      </c>
      <c r="J488" s="2">
        <v>105.32</v>
      </c>
      <c r="K488" s="2">
        <v>112.63</v>
      </c>
      <c r="L488" s="2">
        <v>51.68</v>
      </c>
      <c r="M488" s="2">
        <v>217.95</v>
      </c>
      <c r="N488" s="2">
        <v>105.32</v>
      </c>
      <c r="O488" s="2">
        <v>87.63</v>
      </c>
      <c r="P488" s="2">
        <v>51.68</v>
      </c>
    </row>
    <row r="489" spans="1:16" x14ac:dyDescent="0.25">
      <c r="A489" t="s">
        <v>15</v>
      </c>
      <c r="B489" t="s">
        <v>653</v>
      </c>
      <c r="C489" t="s">
        <v>58</v>
      </c>
      <c r="D489" t="s">
        <v>731</v>
      </c>
      <c r="E489" t="s">
        <v>19</v>
      </c>
      <c r="F489" t="s">
        <v>64</v>
      </c>
      <c r="G489" s="1">
        <f>45729</f>
        <v>45729</v>
      </c>
      <c r="H489" t="s">
        <v>56</v>
      </c>
      <c r="I489" s="2">
        <v>13626.4</v>
      </c>
      <c r="J489" s="2">
        <v>8919</v>
      </c>
      <c r="K489" s="2">
        <v>4707.3999999999996</v>
      </c>
      <c r="L489" s="2">
        <v>34.549999999999997</v>
      </c>
      <c r="M489" s="2">
        <v>13626.4</v>
      </c>
      <c r="N489" s="2">
        <v>8919</v>
      </c>
      <c r="O489" s="2">
        <v>4707.3999999999996</v>
      </c>
      <c r="P489" s="2">
        <v>34.549999999999997</v>
      </c>
    </row>
    <row r="490" spans="1:16" x14ac:dyDescent="0.25">
      <c r="A490" t="s">
        <v>15</v>
      </c>
      <c r="B490" t="s">
        <v>653</v>
      </c>
      <c r="C490" t="s">
        <v>58</v>
      </c>
      <c r="D490" t="s">
        <v>732</v>
      </c>
      <c r="E490" t="s">
        <v>47</v>
      </c>
      <c r="F490" t="s">
        <v>414</v>
      </c>
      <c r="G490" s="1">
        <f>45730</f>
        <v>45730</v>
      </c>
      <c r="H490" t="s">
        <v>70</v>
      </c>
      <c r="I490" s="2">
        <v>0</v>
      </c>
      <c r="J490" s="2">
        <v>0</v>
      </c>
      <c r="K490" s="2">
        <v>0</v>
      </c>
      <c r="L490" s="2">
        <v>0</v>
      </c>
      <c r="M490" s="2">
        <v>126.98</v>
      </c>
      <c r="N490" s="2">
        <v>74.680000000000007</v>
      </c>
      <c r="O490" s="2">
        <v>52.3</v>
      </c>
      <c r="P490" s="2">
        <v>41.19</v>
      </c>
    </row>
    <row r="491" spans="1:16" x14ac:dyDescent="0.25">
      <c r="A491" t="s">
        <v>15</v>
      </c>
      <c r="B491" t="s">
        <v>653</v>
      </c>
      <c r="C491" t="s">
        <v>58</v>
      </c>
      <c r="D491" t="s">
        <v>733</v>
      </c>
      <c r="E491" t="s">
        <v>19</v>
      </c>
      <c r="F491" t="s">
        <v>408</v>
      </c>
      <c r="G491" s="1">
        <f>45730</f>
        <v>45730</v>
      </c>
      <c r="H491" t="s">
        <v>56</v>
      </c>
      <c r="I491" s="2">
        <v>187.8</v>
      </c>
      <c r="J491" s="2">
        <v>113.84</v>
      </c>
      <c r="K491" s="2">
        <v>73.959999999999994</v>
      </c>
      <c r="L491" s="2">
        <v>39.380000000000003</v>
      </c>
      <c r="M491" s="2">
        <v>187.8</v>
      </c>
      <c r="N491" s="2">
        <v>113.84</v>
      </c>
      <c r="O491" s="2">
        <v>54.96</v>
      </c>
      <c r="P491" s="2">
        <v>39.380000000000003</v>
      </c>
    </row>
    <row r="492" spans="1:16" x14ac:dyDescent="0.25">
      <c r="A492" t="s">
        <v>15</v>
      </c>
      <c r="B492" t="s">
        <v>653</v>
      </c>
      <c r="C492" t="s">
        <v>58</v>
      </c>
      <c r="D492" t="s">
        <v>734</v>
      </c>
      <c r="E492" t="s">
        <v>19</v>
      </c>
      <c r="F492" t="s">
        <v>62</v>
      </c>
      <c r="G492" s="1">
        <f>45730</f>
        <v>45730</v>
      </c>
      <c r="H492" t="s">
        <v>56</v>
      </c>
      <c r="I492" s="2">
        <v>2980.89</v>
      </c>
      <c r="J492" s="2">
        <v>1889.55</v>
      </c>
      <c r="K492" s="2">
        <v>1091.3399999999999</v>
      </c>
      <c r="L492" s="2">
        <v>36.61</v>
      </c>
      <c r="M492" s="2">
        <v>2980.89</v>
      </c>
      <c r="N492" s="2">
        <v>1922.48</v>
      </c>
      <c r="O492" s="2">
        <v>884.41</v>
      </c>
      <c r="P492" s="2">
        <v>35.51</v>
      </c>
    </row>
    <row r="493" spans="1:16" x14ac:dyDescent="0.25">
      <c r="A493" t="s">
        <v>15</v>
      </c>
      <c r="B493" t="s">
        <v>653</v>
      </c>
      <c r="C493" t="s">
        <v>58</v>
      </c>
      <c r="D493" t="s">
        <v>735</v>
      </c>
      <c r="E493" t="s">
        <v>19</v>
      </c>
      <c r="F493" t="s">
        <v>64</v>
      </c>
      <c r="G493" s="1">
        <f>45730</f>
        <v>45730</v>
      </c>
      <c r="H493" t="s">
        <v>56</v>
      </c>
      <c r="I493" s="2">
        <v>1730</v>
      </c>
      <c r="J493" s="2">
        <v>1176</v>
      </c>
      <c r="K493" s="2">
        <v>554</v>
      </c>
      <c r="L493" s="2">
        <v>32.020000000000003</v>
      </c>
      <c r="M493" s="2">
        <v>1730</v>
      </c>
      <c r="N493" s="2">
        <v>1176</v>
      </c>
      <c r="O493" s="2">
        <v>508</v>
      </c>
      <c r="P493" s="2">
        <v>32.020000000000003</v>
      </c>
    </row>
    <row r="494" spans="1:16" x14ac:dyDescent="0.25">
      <c r="A494" t="s">
        <v>15</v>
      </c>
      <c r="B494" t="s">
        <v>653</v>
      </c>
      <c r="C494" t="s">
        <v>58</v>
      </c>
      <c r="D494" t="s">
        <v>736</v>
      </c>
      <c r="E494" t="s">
        <v>19</v>
      </c>
      <c r="F494" t="s">
        <v>144</v>
      </c>
      <c r="G494" s="1">
        <f>45730</f>
        <v>45730</v>
      </c>
      <c r="H494" t="s">
        <v>56</v>
      </c>
      <c r="I494" s="2">
        <v>758</v>
      </c>
      <c r="J494" s="2">
        <v>387.46</v>
      </c>
      <c r="K494" s="2">
        <v>370.54</v>
      </c>
      <c r="L494" s="2">
        <v>48.88</v>
      </c>
      <c r="M494" s="2">
        <v>758</v>
      </c>
      <c r="N494" s="2">
        <v>387.46</v>
      </c>
      <c r="O494" s="2">
        <v>334.68</v>
      </c>
      <c r="P494" s="2">
        <v>48.88</v>
      </c>
    </row>
    <row r="495" spans="1:16" x14ac:dyDescent="0.25">
      <c r="A495" t="s">
        <v>15</v>
      </c>
      <c r="B495" t="s">
        <v>653</v>
      </c>
      <c r="C495" t="s">
        <v>58</v>
      </c>
      <c r="D495" t="s">
        <v>737</v>
      </c>
      <c r="E495" t="s">
        <v>19</v>
      </c>
      <c r="F495" t="s">
        <v>93</v>
      </c>
      <c r="G495" s="1">
        <f>45734</f>
        <v>45734</v>
      </c>
      <c r="H495" t="s">
        <v>51</v>
      </c>
      <c r="I495" s="2">
        <v>5403.45</v>
      </c>
      <c r="J495" s="2">
        <v>3981.44</v>
      </c>
      <c r="K495" s="2">
        <v>1422.01</v>
      </c>
      <c r="L495" s="2">
        <v>26.32</v>
      </c>
      <c r="M495" s="2">
        <v>5403.45</v>
      </c>
      <c r="N495" s="2">
        <v>3981.43</v>
      </c>
      <c r="O495" s="2">
        <v>1422.02</v>
      </c>
      <c r="P495" s="2">
        <v>26.32</v>
      </c>
    </row>
    <row r="496" spans="1:16" x14ac:dyDescent="0.25">
      <c r="A496" t="s">
        <v>15</v>
      </c>
      <c r="B496" t="s">
        <v>653</v>
      </c>
      <c r="C496" t="s">
        <v>58</v>
      </c>
      <c r="D496" t="s">
        <v>738</v>
      </c>
      <c r="E496" t="s">
        <v>19</v>
      </c>
      <c r="F496" t="s">
        <v>159</v>
      </c>
      <c r="G496" s="1">
        <f>45734</f>
        <v>45734</v>
      </c>
      <c r="H496" t="s">
        <v>51</v>
      </c>
      <c r="I496" s="2">
        <v>150</v>
      </c>
      <c r="J496" s="2">
        <v>69.84</v>
      </c>
      <c r="K496" s="2">
        <v>80.16</v>
      </c>
      <c r="L496" s="2">
        <v>53.44</v>
      </c>
      <c r="M496" s="2">
        <v>150</v>
      </c>
      <c r="N496" s="2">
        <v>69.84</v>
      </c>
      <c r="O496" s="2">
        <v>46.16</v>
      </c>
      <c r="P496" s="2">
        <v>53.44</v>
      </c>
    </row>
    <row r="497" spans="1:16" x14ac:dyDescent="0.25">
      <c r="A497" t="s">
        <v>15</v>
      </c>
      <c r="B497" t="s">
        <v>653</v>
      </c>
      <c r="C497" t="s">
        <v>58</v>
      </c>
      <c r="D497" t="s">
        <v>739</v>
      </c>
      <c r="E497" t="s">
        <v>19</v>
      </c>
      <c r="F497" t="s">
        <v>77</v>
      </c>
      <c r="G497" s="1">
        <f>45734</f>
        <v>45734</v>
      </c>
      <c r="H497" t="s">
        <v>51</v>
      </c>
      <c r="I497" s="2">
        <v>213</v>
      </c>
      <c r="J497" s="2">
        <v>149.1</v>
      </c>
      <c r="K497" s="2">
        <v>63.9</v>
      </c>
      <c r="L497" s="2">
        <v>30</v>
      </c>
      <c r="M497" s="2">
        <v>213</v>
      </c>
      <c r="N497" s="2">
        <v>149.1</v>
      </c>
      <c r="O497" s="2">
        <v>38.9</v>
      </c>
      <c r="P497" s="2">
        <v>30</v>
      </c>
    </row>
    <row r="498" spans="1:16" x14ac:dyDescent="0.25">
      <c r="A498" t="s">
        <v>15</v>
      </c>
      <c r="B498" t="s">
        <v>653</v>
      </c>
      <c r="C498" t="s">
        <v>58</v>
      </c>
      <c r="D498" t="s">
        <v>740</v>
      </c>
      <c r="E498" t="s">
        <v>47</v>
      </c>
      <c r="F498" t="s">
        <v>152</v>
      </c>
      <c r="G498" s="1">
        <f>45735</f>
        <v>45735</v>
      </c>
      <c r="H498" t="s">
        <v>70</v>
      </c>
      <c r="I498" s="2">
        <v>0</v>
      </c>
      <c r="J498" s="2">
        <v>0</v>
      </c>
      <c r="K498" s="2">
        <v>0</v>
      </c>
      <c r="L498" s="2">
        <v>0</v>
      </c>
      <c r="M498" s="2">
        <v>87.65</v>
      </c>
      <c r="N498" s="2">
        <v>34.75</v>
      </c>
      <c r="O498" s="2">
        <v>52.9</v>
      </c>
      <c r="P498" s="2">
        <v>60.35</v>
      </c>
    </row>
    <row r="499" spans="1:16" x14ac:dyDescent="0.25">
      <c r="A499" t="s">
        <v>15</v>
      </c>
      <c r="B499" t="s">
        <v>653</v>
      </c>
      <c r="C499" t="s">
        <v>58</v>
      </c>
      <c r="D499" t="s">
        <v>741</v>
      </c>
      <c r="E499" t="s">
        <v>47</v>
      </c>
      <c r="F499" t="s">
        <v>742</v>
      </c>
      <c r="G499" s="1">
        <f>45735</f>
        <v>45735</v>
      </c>
      <c r="H499" t="s">
        <v>70</v>
      </c>
      <c r="I499" s="2">
        <v>0</v>
      </c>
      <c r="J499" s="2">
        <v>0</v>
      </c>
      <c r="K499" s="2">
        <v>0</v>
      </c>
      <c r="L499" s="2">
        <v>0</v>
      </c>
      <c r="M499" s="2">
        <v>83.06</v>
      </c>
      <c r="N499" s="2">
        <v>33.22</v>
      </c>
      <c r="O499" s="2">
        <v>49.84</v>
      </c>
      <c r="P499" s="2">
        <v>60</v>
      </c>
    </row>
    <row r="500" spans="1:16" x14ac:dyDescent="0.25">
      <c r="A500" t="s">
        <v>15</v>
      </c>
      <c r="B500" t="s">
        <v>653</v>
      </c>
      <c r="C500" t="s">
        <v>58</v>
      </c>
      <c r="D500" t="s">
        <v>743</v>
      </c>
      <c r="E500" t="s">
        <v>19</v>
      </c>
      <c r="F500" t="s">
        <v>408</v>
      </c>
      <c r="G500" s="1">
        <f>45736</f>
        <v>45736</v>
      </c>
      <c r="H500" t="s">
        <v>56</v>
      </c>
      <c r="I500" s="2">
        <v>235.2</v>
      </c>
      <c r="J500" s="2">
        <v>152.82</v>
      </c>
      <c r="K500" s="2">
        <v>82.38</v>
      </c>
      <c r="L500" s="2">
        <v>35.03</v>
      </c>
      <c r="M500" s="2">
        <v>235.2</v>
      </c>
      <c r="N500" s="2">
        <v>152.82</v>
      </c>
      <c r="O500" s="2">
        <v>55.38</v>
      </c>
      <c r="P500" s="2">
        <v>35.03</v>
      </c>
    </row>
    <row r="501" spans="1:16" x14ac:dyDescent="0.25">
      <c r="A501" t="s">
        <v>15</v>
      </c>
      <c r="B501" t="s">
        <v>653</v>
      </c>
      <c r="C501" t="s">
        <v>58</v>
      </c>
      <c r="D501" t="s">
        <v>744</v>
      </c>
      <c r="E501" t="s">
        <v>47</v>
      </c>
      <c r="F501" t="s">
        <v>73</v>
      </c>
      <c r="G501" s="1">
        <f>45736</f>
        <v>45736</v>
      </c>
      <c r="H501" t="s">
        <v>84</v>
      </c>
      <c r="I501" s="2">
        <v>0</v>
      </c>
      <c r="J501" s="2">
        <v>0</v>
      </c>
      <c r="K501" s="2">
        <v>0</v>
      </c>
      <c r="L501" s="2">
        <v>0</v>
      </c>
      <c r="M501" s="2">
        <v>45.6</v>
      </c>
      <c r="N501" s="2">
        <v>18.239999999999998</v>
      </c>
      <c r="O501" s="2">
        <v>27.36</v>
      </c>
      <c r="P501" s="2">
        <v>60</v>
      </c>
    </row>
    <row r="502" spans="1:16" x14ac:dyDescent="0.25">
      <c r="A502" t="s">
        <v>15</v>
      </c>
      <c r="B502" t="s">
        <v>653</v>
      </c>
      <c r="C502" t="s">
        <v>58</v>
      </c>
      <c r="D502" t="s">
        <v>745</v>
      </c>
      <c r="E502" t="s">
        <v>19</v>
      </c>
      <c r="F502" t="s">
        <v>408</v>
      </c>
      <c r="G502" s="1">
        <f>45736</f>
        <v>45736</v>
      </c>
      <c r="H502" t="s">
        <v>56</v>
      </c>
      <c r="I502" s="2">
        <v>200.45</v>
      </c>
      <c r="J502" s="2">
        <v>153.03</v>
      </c>
      <c r="K502" s="2">
        <v>47.42</v>
      </c>
      <c r="L502" s="2">
        <v>23.66</v>
      </c>
      <c r="M502" s="2">
        <v>200.45</v>
      </c>
      <c r="N502" s="2">
        <v>153.03</v>
      </c>
      <c r="O502" s="2">
        <v>12.42</v>
      </c>
      <c r="P502" s="2">
        <v>23.66</v>
      </c>
    </row>
    <row r="503" spans="1:16" x14ac:dyDescent="0.25">
      <c r="A503" t="s">
        <v>15</v>
      </c>
      <c r="B503" t="s">
        <v>653</v>
      </c>
      <c r="C503" t="s">
        <v>58</v>
      </c>
      <c r="D503" t="s">
        <v>746</v>
      </c>
      <c r="E503" t="s">
        <v>19</v>
      </c>
      <c r="F503" t="s">
        <v>64</v>
      </c>
      <c r="G503" s="1">
        <f>45737</f>
        <v>45737</v>
      </c>
      <c r="H503" t="s">
        <v>56</v>
      </c>
      <c r="I503" s="2">
        <v>474.28</v>
      </c>
      <c r="J503" s="2">
        <v>327.26</v>
      </c>
      <c r="K503" s="2">
        <v>147.02000000000001</v>
      </c>
      <c r="L503" s="2">
        <v>31</v>
      </c>
      <c r="M503" s="2">
        <v>474.28</v>
      </c>
      <c r="N503" s="2">
        <v>327.26</v>
      </c>
      <c r="O503" s="2">
        <v>122.02</v>
      </c>
      <c r="P503" s="2">
        <v>31</v>
      </c>
    </row>
    <row r="504" spans="1:16" x14ac:dyDescent="0.25">
      <c r="A504" t="s">
        <v>15</v>
      </c>
      <c r="B504" t="s">
        <v>653</v>
      </c>
      <c r="C504" t="s">
        <v>58</v>
      </c>
      <c r="D504" t="s">
        <v>747</v>
      </c>
      <c r="E504" t="s">
        <v>19</v>
      </c>
      <c r="F504" t="s">
        <v>450</v>
      </c>
      <c r="G504" s="1">
        <f>45737</f>
        <v>45737</v>
      </c>
      <c r="H504" t="s">
        <v>56</v>
      </c>
      <c r="I504" s="2">
        <v>726.2</v>
      </c>
      <c r="J504" s="2">
        <v>493.82</v>
      </c>
      <c r="K504" s="2">
        <v>232.38</v>
      </c>
      <c r="L504" s="2">
        <v>32</v>
      </c>
      <c r="M504" s="2">
        <v>726.2</v>
      </c>
      <c r="N504" s="2">
        <v>493.82</v>
      </c>
      <c r="O504" s="2">
        <v>207.38</v>
      </c>
      <c r="P504" s="2">
        <v>32</v>
      </c>
    </row>
    <row r="505" spans="1:16" x14ac:dyDescent="0.25">
      <c r="A505" t="s">
        <v>15</v>
      </c>
      <c r="B505" t="s">
        <v>653</v>
      </c>
      <c r="C505" t="s">
        <v>58</v>
      </c>
      <c r="D505" t="s">
        <v>748</v>
      </c>
      <c r="E505" t="s">
        <v>19</v>
      </c>
      <c r="F505" t="s">
        <v>79</v>
      </c>
      <c r="G505" s="1">
        <f>45737</f>
        <v>45737</v>
      </c>
      <c r="H505" t="s">
        <v>56</v>
      </c>
      <c r="I505" s="2">
        <v>1190</v>
      </c>
      <c r="J505" s="2">
        <v>829.39</v>
      </c>
      <c r="K505" s="2">
        <v>360.61</v>
      </c>
      <c r="L505" s="2">
        <v>30.3</v>
      </c>
      <c r="M505" s="2">
        <v>1190</v>
      </c>
      <c r="N505" s="2">
        <v>829.39</v>
      </c>
      <c r="O505" s="2">
        <v>250.61</v>
      </c>
      <c r="P505" s="2">
        <v>30.3</v>
      </c>
    </row>
    <row r="506" spans="1:16" x14ac:dyDescent="0.25">
      <c r="A506" t="s">
        <v>15</v>
      </c>
      <c r="B506" t="s">
        <v>653</v>
      </c>
      <c r="C506" t="s">
        <v>58</v>
      </c>
      <c r="D506" t="s">
        <v>749</v>
      </c>
      <c r="E506" t="s">
        <v>19</v>
      </c>
      <c r="F506" t="s">
        <v>86</v>
      </c>
      <c r="G506" s="1">
        <f>45737</f>
        <v>45737</v>
      </c>
      <c r="H506" t="s">
        <v>56</v>
      </c>
      <c r="I506" s="2">
        <v>316.88</v>
      </c>
      <c r="J506" s="2">
        <v>209.52</v>
      </c>
      <c r="K506" s="2">
        <v>107.36</v>
      </c>
      <c r="L506" s="2">
        <v>33.880000000000003</v>
      </c>
      <c r="M506" s="2">
        <v>316.88</v>
      </c>
      <c r="N506" s="2">
        <v>209.52</v>
      </c>
      <c r="O506" s="2">
        <v>83.36</v>
      </c>
      <c r="P506" s="2">
        <v>33.880000000000003</v>
      </c>
    </row>
    <row r="507" spans="1:16" x14ac:dyDescent="0.25">
      <c r="A507" t="s">
        <v>15</v>
      </c>
      <c r="B507" t="s">
        <v>653</v>
      </c>
      <c r="C507" t="s">
        <v>58</v>
      </c>
      <c r="D507" t="s">
        <v>750</v>
      </c>
      <c r="E507" t="s">
        <v>19</v>
      </c>
      <c r="F507" t="s">
        <v>425</v>
      </c>
      <c r="G507" s="1">
        <f>45740</f>
        <v>45740</v>
      </c>
      <c r="H507" t="s">
        <v>56</v>
      </c>
      <c r="I507" s="2">
        <v>841</v>
      </c>
      <c r="J507" s="2">
        <v>609.6</v>
      </c>
      <c r="K507" s="2">
        <v>231.4</v>
      </c>
      <c r="L507" s="2">
        <v>27.51</v>
      </c>
      <c r="M507" s="2">
        <v>841</v>
      </c>
      <c r="N507" s="2">
        <v>609.6</v>
      </c>
      <c r="O507" s="2">
        <v>222.4</v>
      </c>
      <c r="P507" s="2">
        <v>27.51</v>
      </c>
    </row>
    <row r="508" spans="1:16" x14ac:dyDescent="0.25">
      <c r="A508" t="s">
        <v>15</v>
      </c>
      <c r="B508" t="s">
        <v>653</v>
      </c>
      <c r="C508" t="s">
        <v>58</v>
      </c>
      <c r="D508" t="s">
        <v>751</v>
      </c>
      <c r="E508" t="s">
        <v>19</v>
      </c>
      <c r="F508" t="s">
        <v>419</v>
      </c>
      <c r="G508" s="1">
        <f>45740</f>
        <v>45740</v>
      </c>
      <c r="H508" t="s">
        <v>56</v>
      </c>
      <c r="I508" s="2">
        <v>170.63</v>
      </c>
      <c r="J508" s="2">
        <v>100.38</v>
      </c>
      <c r="K508" s="2">
        <v>70.25</v>
      </c>
      <c r="L508" s="2">
        <v>41.17</v>
      </c>
      <c r="M508" s="2">
        <v>170.63</v>
      </c>
      <c r="N508" s="2">
        <v>100.38</v>
      </c>
      <c r="O508" s="2">
        <v>20.25</v>
      </c>
      <c r="P508" s="2">
        <v>41.17</v>
      </c>
    </row>
    <row r="509" spans="1:16" x14ac:dyDescent="0.25">
      <c r="A509" t="s">
        <v>15</v>
      </c>
      <c r="B509" t="s">
        <v>653</v>
      </c>
      <c r="C509" t="s">
        <v>58</v>
      </c>
      <c r="D509" t="s">
        <v>752</v>
      </c>
      <c r="E509" t="s">
        <v>19</v>
      </c>
      <c r="F509" t="s">
        <v>93</v>
      </c>
      <c r="G509" s="1">
        <f>45741</f>
        <v>45741</v>
      </c>
      <c r="H509" t="s">
        <v>56</v>
      </c>
      <c r="I509" s="2">
        <v>993</v>
      </c>
      <c r="J509" s="2">
        <v>406.62</v>
      </c>
      <c r="K509" s="2">
        <v>586.38</v>
      </c>
      <c r="L509" s="2">
        <v>59.05</v>
      </c>
      <c r="M509" s="2">
        <v>993</v>
      </c>
      <c r="N509" s="2">
        <v>406.62</v>
      </c>
      <c r="O509" s="2">
        <v>533.84</v>
      </c>
      <c r="P509" s="2">
        <v>59.05</v>
      </c>
    </row>
    <row r="510" spans="1:16" x14ac:dyDescent="0.25">
      <c r="A510" t="s">
        <v>15</v>
      </c>
      <c r="B510" t="s">
        <v>653</v>
      </c>
      <c r="C510" t="s">
        <v>58</v>
      </c>
      <c r="D510" t="s">
        <v>753</v>
      </c>
      <c r="E510" t="s">
        <v>47</v>
      </c>
      <c r="F510" t="s">
        <v>105</v>
      </c>
      <c r="G510" s="1">
        <f>45741</f>
        <v>45741</v>
      </c>
      <c r="H510" t="s">
        <v>70</v>
      </c>
      <c r="I510" s="2">
        <v>0</v>
      </c>
      <c r="J510" s="2">
        <v>0</v>
      </c>
      <c r="K510" s="2">
        <v>0</v>
      </c>
      <c r="L510" s="2">
        <v>0</v>
      </c>
      <c r="M510" s="2">
        <v>8.25</v>
      </c>
      <c r="N510" s="2">
        <v>3.3</v>
      </c>
      <c r="O510" s="2">
        <v>4.95</v>
      </c>
      <c r="P510" s="2">
        <v>60</v>
      </c>
    </row>
    <row r="511" spans="1:16" x14ac:dyDescent="0.25">
      <c r="A511" t="s">
        <v>15</v>
      </c>
      <c r="B511" t="s">
        <v>653</v>
      </c>
      <c r="C511" t="s">
        <v>58</v>
      </c>
      <c r="D511" t="s">
        <v>754</v>
      </c>
      <c r="E511" t="s">
        <v>19</v>
      </c>
      <c r="F511" t="s">
        <v>755</v>
      </c>
      <c r="G511" s="1">
        <f>45741</f>
        <v>45741</v>
      </c>
      <c r="H511" t="s">
        <v>56</v>
      </c>
      <c r="I511" s="2">
        <v>953</v>
      </c>
      <c r="J511" s="2">
        <v>610.9</v>
      </c>
      <c r="K511" s="2">
        <v>342.1</v>
      </c>
      <c r="L511" s="2">
        <v>35.9</v>
      </c>
      <c r="M511" s="2">
        <v>953</v>
      </c>
      <c r="N511" s="2">
        <v>598.70000000000005</v>
      </c>
      <c r="O511" s="2">
        <v>344.3</v>
      </c>
      <c r="P511" s="2">
        <v>37.18</v>
      </c>
    </row>
    <row r="512" spans="1:16" x14ac:dyDescent="0.25">
      <c r="A512" t="s">
        <v>15</v>
      </c>
      <c r="B512" t="s">
        <v>653</v>
      </c>
      <c r="C512" t="s">
        <v>58</v>
      </c>
      <c r="D512" t="s">
        <v>756</v>
      </c>
      <c r="E512" t="s">
        <v>19</v>
      </c>
      <c r="F512" t="s">
        <v>724</v>
      </c>
      <c r="G512" s="1">
        <f>45741</f>
        <v>45741</v>
      </c>
      <c r="H512" t="s">
        <v>56</v>
      </c>
      <c r="I512" s="2">
        <v>6810</v>
      </c>
      <c r="J512" s="2">
        <v>4724</v>
      </c>
      <c r="K512" s="2">
        <v>2086</v>
      </c>
      <c r="L512" s="2">
        <v>30.63</v>
      </c>
      <c r="M512" s="2">
        <v>6810</v>
      </c>
      <c r="N512" s="2">
        <v>4724</v>
      </c>
      <c r="O512" s="2">
        <v>2030</v>
      </c>
      <c r="P512" s="2">
        <v>30.63</v>
      </c>
    </row>
    <row r="513" spans="1:16" x14ac:dyDescent="0.25">
      <c r="A513" t="s">
        <v>15</v>
      </c>
      <c r="B513" t="s">
        <v>653</v>
      </c>
      <c r="C513" t="s">
        <v>58</v>
      </c>
      <c r="D513" t="s">
        <v>757</v>
      </c>
      <c r="E513" t="s">
        <v>47</v>
      </c>
      <c r="F513" t="s">
        <v>75</v>
      </c>
      <c r="G513" s="1">
        <f>45742</f>
        <v>45742</v>
      </c>
      <c r="H513" t="s">
        <v>70</v>
      </c>
      <c r="I513" s="2">
        <v>0</v>
      </c>
      <c r="J513" s="2">
        <v>0</v>
      </c>
      <c r="K513" s="2">
        <v>0</v>
      </c>
      <c r="L513" s="2">
        <v>0</v>
      </c>
      <c r="M513" s="2">
        <v>126.69</v>
      </c>
      <c r="N513" s="2">
        <v>50.67</v>
      </c>
      <c r="O513" s="2">
        <v>76.02</v>
      </c>
      <c r="P513" s="2">
        <v>60</v>
      </c>
    </row>
    <row r="514" spans="1:16" x14ac:dyDescent="0.25">
      <c r="A514" t="s">
        <v>15</v>
      </c>
      <c r="B514" t="s">
        <v>653</v>
      </c>
      <c r="C514" t="s">
        <v>58</v>
      </c>
      <c r="D514" t="s">
        <v>758</v>
      </c>
      <c r="E514" t="s">
        <v>47</v>
      </c>
      <c r="F514" t="s">
        <v>720</v>
      </c>
      <c r="G514" s="1">
        <f>45742</f>
        <v>45742</v>
      </c>
      <c r="H514" t="s">
        <v>70</v>
      </c>
      <c r="I514" s="2">
        <v>0</v>
      </c>
      <c r="J514" s="2">
        <v>0</v>
      </c>
      <c r="K514" s="2">
        <v>0</v>
      </c>
      <c r="L514" s="2">
        <v>0</v>
      </c>
      <c r="M514" s="2">
        <v>1619</v>
      </c>
      <c r="N514" s="2">
        <v>791.28</v>
      </c>
      <c r="O514" s="2">
        <v>827.72</v>
      </c>
      <c r="P514" s="2">
        <v>51.13</v>
      </c>
    </row>
    <row r="515" spans="1:16" x14ac:dyDescent="0.25">
      <c r="A515" t="s">
        <v>15</v>
      </c>
      <c r="B515" t="s">
        <v>653</v>
      </c>
      <c r="C515" t="s">
        <v>58</v>
      </c>
      <c r="D515" t="s">
        <v>759</v>
      </c>
      <c r="E515" t="s">
        <v>19</v>
      </c>
      <c r="F515" t="s">
        <v>64</v>
      </c>
      <c r="G515" s="1">
        <f>45742</f>
        <v>45742</v>
      </c>
      <c r="H515" t="s">
        <v>56</v>
      </c>
      <c r="I515" s="2">
        <v>852</v>
      </c>
      <c r="J515" s="2">
        <v>527</v>
      </c>
      <c r="K515" s="2">
        <v>325</v>
      </c>
      <c r="L515" s="2">
        <v>38.15</v>
      </c>
      <c r="M515" s="2">
        <v>852</v>
      </c>
      <c r="N515" s="2">
        <v>527</v>
      </c>
      <c r="O515" s="2">
        <v>283</v>
      </c>
      <c r="P515" s="2">
        <v>38.15</v>
      </c>
    </row>
    <row r="516" spans="1:16" x14ac:dyDescent="0.25">
      <c r="A516" t="s">
        <v>15</v>
      </c>
      <c r="B516" t="s">
        <v>653</v>
      </c>
      <c r="C516" t="s">
        <v>58</v>
      </c>
      <c r="D516" t="s">
        <v>760</v>
      </c>
      <c r="E516" t="s">
        <v>19</v>
      </c>
      <c r="F516" t="s">
        <v>761</v>
      </c>
      <c r="G516" s="1">
        <f>45743</f>
        <v>45743</v>
      </c>
      <c r="H516" t="s">
        <v>56</v>
      </c>
      <c r="I516" s="2">
        <v>323</v>
      </c>
      <c r="J516" s="2">
        <v>165.75</v>
      </c>
      <c r="K516" s="2">
        <v>157.25</v>
      </c>
      <c r="L516" s="2">
        <v>48.68</v>
      </c>
      <c r="M516" s="2">
        <v>323</v>
      </c>
      <c r="N516" s="2">
        <v>165.75</v>
      </c>
      <c r="O516" s="2">
        <v>148.25</v>
      </c>
      <c r="P516" s="2">
        <v>48.68</v>
      </c>
    </row>
    <row r="517" spans="1:16" x14ac:dyDescent="0.25">
      <c r="A517" t="s">
        <v>15</v>
      </c>
      <c r="B517" t="s">
        <v>653</v>
      </c>
      <c r="C517" t="s">
        <v>58</v>
      </c>
      <c r="D517" t="s">
        <v>762</v>
      </c>
      <c r="E517" t="s">
        <v>19</v>
      </c>
      <c r="F517" t="s">
        <v>763</v>
      </c>
      <c r="G517" s="1">
        <f>45744</f>
        <v>45744</v>
      </c>
      <c r="H517" t="s">
        <v>51</v>
      </c>
      <c r="I517" s="2">
        <v>168.9</v>
      </c>
      <c r="J517" s="2">
        <v>159.9</v>
      </c>
      <c r="K517" s="2">
        <v>9</v>
      </c>
      <c r="L517" s="2">
        <v>5.33</v>
      </c>
      <c r="M517" s="2">
        <v>168.9</v>
      </c>
      <c r="N517" s="2">
        <v>159.9</v>
      </c>
      <c r="O517" s="2">
        <v>-50</v>
      </c>
      <c r="P517" s="2">
        <v>5.33</v>
      </c>
    </row>
    <row r="518" spans="1:16" x14ac:dyDescent="0.25">
      <c r="A518" t="s">
        <v>15</v>
      </c>
      <c r="B518" t="s">
        <v>653</v>
      </c>
      <c r="C518" t="s">
        <v>58</v>
      </c>
      <c r="D518" t="s">
        <v>764</v>
      </c>
      <c r="E518" t="s">
        <v>19</v>
      </c>
      <c r="F518" t="s">
        <v>131</v>
      </c>
      <c r="G518" s="1">
        <f>45744</f>
        <v>45744</v>
      </c>
      <c r="H518" t="s">
        <v>51</v>
      </c>
      <c r="I518" s="2">
        <v>11364.14</v>
      </c>
      <c r="J518" s="2">
        <v>7166.88</v>
      </c>
      <c r="K518" s="2">
        <v>4197.26</v>
      </c>
      <c r="L518" s="2">
        <v>36.93</v>
      </c>
      <c r="M518" s="2">
        <v>11364.14</v>
      </c>
      <c r="N518" s="2">
        <v>7201.88</v>
      </c>
      <c r="O518" s="2">
        <v>4072.26</v>
      </c>
      <c r="P518" s="2">
        <v>36.630000000000003</v>
      </c>
    </row>
    <row r="519" spans="1:16" x14ac:dyDescent="0.25">
      <c r="A519" t="s">
        <v>15</v>
      </c>
      <c r="B519" t="s">
        <v>653</v>
      </c>
      <c r="C519" t="s">
        <v>58</v>
      </c>
      <c r="D519" t="s">
        <v>765</v>
      </c>
      <c r="E519" t="s">
        <v>19</v>
      </c>
      <c r="F519" t="s">
        <v>131</v>
      </c>
      <c r="G519" s="1">
        <f>45744</f>
        <v>45744</v>
      </c>
      <c r="H519" t="s">
        <v>51</v>
      </c>
      <c r="I519" s="2">
        <v>559.70000000000005</v>
      </c>
      <c r="J519" s="2">
        <v>379.18</v>
      </c>
      <c r="K519" s="2">
        <v>180.53</v>
      </c>
      <c r="L519" s="2">
        <v>32.25</v>
      </c>
      <c r="M519" s="2">
        <v>559.70000000000005</v>
      </c>
      <c r="N519" s="2">
        <v>379.18</v>
      </c>
      <c r="O519" s="2">
        <v>163.53</v>
      </c>
      <c r="P519" s="2">
        <v>32.25</v>
      </c>
    </row>
    <row r="520" spans="1:16" x14ac:dyDescent="0.25">
      <c r="A520" t="s">
        <v>15</v>
      </c>
      <c r="B520" t="s">
        <v>653</v>
      </c>
      <c r="C520" t="s">
        <v>58</v>
      </c>
      <c r="D520" t="s">
        <v>766</v>
      </c>
      <c r="E520" t="s">
        <v>19</v>
      </c>
      <c r="F520" t="s">
        <v>767</v>
      </c>
      <c r="G520" s="1">
        <f>45728</f>
        <v>45728</v>
      </c>
      <c r="H520" t="s">
        <v>56</v>
      </c>
      <c r="I520" s="2">
        <v>0</v>
      </c>
      <c r="J520" s="2">
        <v>427.08</v>
      </c>
      <c r="K520" s="2">
        <v>-427.08</v>
      </c>
      <c r="L520" s="2">
        <v>0</v>
      </c>
      <c r="M520" s="2">
        <v>0</v>
      </c>
      <c r="N520" s="2">
        <v>381.08</v>
      </c>
      <c r="O520" s="2">
        <v>0</v>
      </c>
      <c r="P520" s="2">
        <v>0</v>
      </c>
    </row>
    <row r="521" spans="1:16" x14ac:dyDescent="0.25">
      <c r="A521" t="s">
        <v>15</v>
      </c>
      <c r="B521" t="s">
        <v>653</v>
      </c>
      <c r="C521" t="s">
        <v>58</v>
      </c>
      <c r="D521" t="s">
        <v>768</v>
      </c>
      <c r="E521" t="s">
        <v>47</v>
      </c>
      <c r="F521" t="s">
        <v>164</v>
      </c>
      <c r="G521" s="1">
        <f>45719</f>
        <v>45719</v>
      </c>
      <c r="H521" t="s">
        <v>56</v>
      </c>
      <c r="I521" s="2">
        <v>4246.5</v>
      </c>
      <c r="J521" s="2">
        <v>1453</v>
      </c>
      <c r="K521" s="2">
        <v>2793.5</v>
      </c>
      <c r="L521" s="2">
        <v>65.78</v>
      </c>
      <c r="M521" s="2">
        <v>4246.5</v>
      </c>
      <c r="N521" s="2">
        <v>1680</v>
      </c>
      <c r="O521" s="2">
        <v>2566.5</v>
      </c>
      <c r="P521" s="2">
        <v>60.44</v>
      </c>
    </row>
    <row r="522" spans="1:16" x14ac:dyDescent="0.25">
      <c r="A522" t="s">
        <v>15</v>
      </c>
      <c r="B522" t="s">
        <v>653</v>
      </c>
      <c r="C522" t="s">
        <v>58</v>
      </c>
      <c r="D522" t="s">
        <v>769</v>
      </c>
      <c r="E522" t="s">
        <v>47</v>
      </c>
      <c r="F522" t="s">
        <v>164</v>
      </c>
      <c r="G522" s="1">
        <f>45719</f>
        <v>45719</v>
      </c>
      <c r="H522" t="s">
        <v>56</v>
      </c>
      <c r="I522" s="2">
        <v>1729</v>
      </c>
      <c r="J522" s="2">
        <v>626</v>
      </c>
      <c r="K522" s="2">
        <v>1103</v>
      </c>
      <c r="L522" s="2">
        <v>63.79</v>
      </c>
      <c r="M522" s="2">
        <v>1729</v>
      </c>
      <c r="N522" s="2">
        <v>648</v>
      </c>
      <c r="O522" s="2">
        <v>1081</v>
      </c>
      <c r="P522" s="2">
        <v>62.52</v>
      </c>
    </row>
    <row r="523" spans="1:16" x14ac:dyDescent="0.25">
      <c r="A523" t="s">
        <v>15</v>
      </c>
      <c r="B523" t="s">
        <v>653</v>
      </c>
      <c r="C523" t="s">
        <v>58</v>
      </c>
      <c r="D523" t="s">
        <v>770</v>
      </c>
      <c r="E523" t="s">
        <v>47</v>
      </c>
      <c r="F523" t="s">
        <v>164</v>
      </c>
      <c r="G523" s="1">
        <f>45719</f>
        <v>45719</v>
      </c>
      <c r="H523" t="s">
        <v>56</v>
      </c>
      <c r="I523" s="2">
        <v>5291.5</v>
      </c>
      <c r="J523" s="2">
        <v>2556.65</v>
      </c>
      <c r="K523" s="2">
        <v>2734.85</v>
      </c>
      <c r="L523" s="2">
        <v>51.68</v>
      </c>
      <c r="M523" s="2">
        <v>5291.5</v>
      </c>
      <c r="N523" s="2">
        <v>2570.17</v>
      </c>
      <c r="O523" s="2">
        <v>2721.33</v>
      </c>
      <c r="P523" s="2">
        <v>51.43</v>
      </c>
    </row>
    <row r="524" spans="1:16" x14ac:dyDescent="0.25">
      <c r="A524" t="s">
        <v>15</v>
      </c>
      <c r="B524" t="s">
        <v>653</v>
      </c>
      <c r="C524" t="s">
        <v>58</v>
      </c>
      <c r="D524" t="s">
        <v>771</v>
      </c>
      <c r="E524" t="s">
        <v>19</v>
      </c>
      <c r="F524" t="s">
        <v>772</v>
      </c>
      <c r="G524" s="1">
        <f>45720</f>
        <v>45720</v>
      </c>
      <c r="H524" t="s">
        <v>56</v>
      </c>
      <c r="I524" s="2">
        <v>986.67</v>
      </c>
      <c r="J524" s="2">
        <v>488.32</v>
      </c>
      <c r="K524" s="2">
        <v>498.35</v>
      </c>
      <c r="L524" s="2">
        <v>50.51</v>
      </c>
      <c r="M524" s="2">
        <v>986.67</v>
      </c>
      <c r="N524" s="2">
        <v>488.32</v>
      </c>
      <c r="O524" s="2">
        <v>483.35</v>
      </c>
      <c r="P524" s="2">
        <v>50.51</v>
      </c>
    </row>
    <row r="525" spans="1:16" x14ac:dyDescent="0.25">
      <c r="A525" t="s">
        <v>15</v>
      </c>
      <c r="B525" t="s">
        <v>653</v>
      </c>
      <c r="C525" t="s">
        <v>17</v>
      </c>
      <c r="D525" t="s">
        <v>773</v>
      </c>
      <c r="E525" t="s">
        <v>19</v>
      </c>
      <c r="F525" t="s">
        <v>131</v>
      </c>
      <c r="G525" s="1">
        <f>45723</f>
        <v>45723</v>
      </c>
      <c r="H525" t="s">
        <v>56</v>
      </c>
      <c r="I525" s="2">
        <v>150.47999999999999</v>
      </c>
      <c r="J525" s="2">
        <v>60.04</v>
      </c>
      <c r="K525" s="2">
        <v>90.44</v>
      </c>
      <c r="L525" s="2">
        <v>60.1</v>
      </c>
      <c r="M525" s="2">
        <v>150.47999999999999</v>
      </c>
      <c r="N525" s="2">
        <v>60.04</v>
      </c>
      <c r="O525" s="2">
        <v>90.44</v>
      </c>
      <c r="P525" s="2">
        <v>60.1</v>
      </c>
    </row>
    <row r="526" spans="1:16" x14ac:dyDescent="0.25">
      <c r="A526" t="s">
        <v>15</v>
      </c>
      <c r="B526" t="s">
        <v>653</v>
      </c>
      <c r="C526" t="s">
        <v>17</v>
      </c>
      <c r="D526" t="s">
        <v>774</v>
      </c>
      <c r="E526" t="s">
        <v>19</v>
      </c>
      <c r="F526" t="s">
        <v>775</v>
      </c>
      <c r="G526" s="1">
        <f>45726</f>
        <v>45726</v>
      </c>
      <c r="H526" t="s">
        <v>51</v>
      </c>
      <c r="I526" s="2">
        <v>418.55</v>
      </c>
      <c r="J526" s="2">
        <v>261.14999999999998</v>
      </c>
      <c r="K526" s="2">
        <v>157.4</v>
      </c>
      <c r="L526" s="2">
        <v>37.61</v>
      </c>
      <c r="M526" s="2">
        <v>418.55</v>
      </c>
      <c r="N526" s="2">
        <v>261.14999999999998</v>
      </c>
      <c r="O526" s="2">
        <v>148.4</v>
      </c>
      <c r="P526" s="2">
        <v>37.61</v>
      </c>
    </row>
    <row r="527" spans="1:16" x14ac:dyDescent="0.25">
      <c r="A527" t="s">
        <v>15</v>
      </c>
      <c r="B527" t="s">
        <v>653</v>
      </c>
      <c r="C527" t="s">
        <v>17</v>
      </c>
      <c r="D527" t="s">
        <v>776</v>
      </c>
      <c r="E527" t="s">
        <v>19</v>
      </c>
      <c r="F527" t="s">
        <v>489</v>
      </c>
      <c r="G527" s="1">
        <f>45727</f>
        <v>45727</v>
      </c>
      <c r="H527" t="s">
        <v>51</v>
      </c>
      <c r="I527" s="2">
        <v>620.12</v>
      </c>
      <c r="J527" s="2">
        <v>422</v>
      </c>
      <c r="K527" s="2">
        <v>198.12</v>
      </c>
      <c r="L527" s="2">
        <v>31.95</v>
      </c>
      <c r="M527" s="2">
        <v>620.12</v>
      </c>
      <c r="N527" s="2">
        <v>422.02</v>
      </c>
      <c r="O527" s="2">
        <v>157.1</v>
      </c>
      <c r="P527" s="2">
        <v>31.95</v>
      </c>
    </row>
    <row r="528" spans="1:16" x14ac:dyDescent="0.25">
      <c r="A528" t="s">
        <v>15</v>
      </c>
      <c r="B528" t="s">
        <v>653</v>
      </c>
      <c r="C528" t="s">
        <v>17</v>
      </c>
      <c r="D528" t="s">
        <v>777</v>
      </c>
      <c r="E528" t="s">
        <v>19</v>
      </c>
      <c r="F528" t="s">
        <v>50</v>
      </c>
      <c r="G528" s="1">
        <f>45721</f>
        <v>45721</v>
      </c>
      <c r="H528" t="s">
        <v>51</v>
      </c>
      <c r="I528" s="2">
        <v>4504.66</v>
      </c>
      <c r="J528" s="2">
        <v>3378.5</v>
      </c>
      <c r="K528" s="2">
        <v>1126.1600000000001</v>
      </c>
      <c r="L528" s="2">
        <v>25</v>
      </c>
      <c r="M528" s="2">
        <v>1801.86</v>
      </c>
      <c r="N528" s="2">
        <v>1836.77</v>
      </c>
      <c r="O528" s="2">
        <v>-1412.29</v>
      </c>
      <c r="P528" s="2">
        <v>-1.94</v>
      </c>
    </row>
    <row r="529" spans="1:16" x14ac:dyDescent="0.25">
      <c r="A529" t="s">
        <v>15</v>
      </c>
      <c r="B529" t="s">
        <v>653</v>
      </c>
      <c r="C529" t="s">
        <v>17</v>
      </c>
      <c r="D529" t="s">
        <v>778</v>
      </c>
      <c r="E529" t="s">
        <v>19</v>
      </c>
      <c r="F529" t="s">
        <v>184</v>
      </c>
      <c r="G529" s="1">
        <f>45736</f>
        <v>45736</v>
      </c>
      <c r="H529" t="s">
        <v>51</v>
      </c>
      <c r="I529" s="2">
        <v>340.76</v>
      </c>
      <c r="J529" s="2">
        <v>203.23</v>
      </c>
      <c r="K529" s="2">
        <v>137.53</v>
      </c>
      <c r="L529" s="2">
        <v>40.36</v>
      </c>
      <c r="M529" s="2">
        <v>340.76</v>
      </c>
      <c r="N529" s="2">
        <v>203.23</v>
      </c>
      <c r="O529" s="2">
        <v>106</v>
      </c>
      <c r="P529" s="2">
        <v>40.36</v>
      </c>
    </row>
    <row r="530" spans="1:16" x14ac:dyDescent="0.25">
      <c r="A530" t="s">
        <v>15</v>
      </c>
      <c r="B530" t="s">
        <v>653</v>
      </c>
      <c r="C530" t="s">
        <v>187</v>
      </c>
      <c r="D530" t="s">
        <v>779</v>
      </c>
      <c r="E530" t="s">
        <v>19</v>
      </c>
      <c r="F530" t="s">
        <v>501</v>
      </c>
      <c r="G530" s="1">
        <f>45719</f>
        <v>45719</v>
      </c>
      <c r="H530" t="s">
        <v>51</v>
      </c>
      <c r="I530" s="2">
        <v>13566</v>
      </c>
      <c r="J530" s="2">
        <v>9344.64</v>
      </c>
      <c r="K530" s="2">
        <v>4221.3599999999997</v>
      </c>
      <c r="L530" s="2">
        <v>31.12</v>
      </c>
      <c r="M530" s="2">
        <v>13566</v>
      </c>
      <c r="N530" s="2">
        <v>9344.65</v>
      </c>
      <c r="O530" s="2">
        <v>3935.35</v>
      </c>
      <c r="P530" s="2">
        <v>31.12</v>
      </c>
    </row>
    <row r="531" spans="1:16" x14ac:dyDescent="0.25">
      <c r="A531" t="s">
        <v>15</v>
      </c>
      <c r="B531" t="s">
        <v>653</v>
      </c>
      <c r="C531" t="s">
        <v>187</v>
      </c>
      <c r="D531" t="s">
        <v>780</v>
      </c>
      <c r="E531" t="s">
        <v>19</v>
      </c>
      <c r="F531" t="s">
        <v>781</v>
      </c>
      <c r="G531" s="1">
        <f>45719</f>
        <v>45719</v>
      </c>
      <c r="H531" t="s">
        <v>51</v>
      </c>
      <c r="I531" s="2">
        <v>1980.1</v>
      </c>
      <c r="J531" s="2">
        <v>992</v>
      </c>
      <c r="K531" s="2">
        <v>988.1</v>
      </c>
      <c r="L531" s="2">
        <v>49.9</v>
      </c>
      <c r="M531" s="2">
        <v>1980.1</v>
      </c>
      <c r="N531" s="2">
        <v>992</v>
      </c>
      <c r="O531" s="2">
        <v>973.1</v>
      </c>
      <c r="P531" s="2">
        <v>49.9</v>
      </c>
    </row>
    <row r="532" spans="1:16" x14ac:dyDescent="0.25">
      <c r="A532" t="s">
        <v>15</v>
      </c>
      <c r="B532" t="s">
        <v>653</v>
      </c>
      <c r="C532" t="s">
        <v>187</v>
      </c>
      <c r="D532" t="s">
        <v>782</v>
      </c>
      <c r="E532" t="s">
        <v>19</v>
      </c>
      <c r="F532" t="s">
        <v>222</v>
      </c>
      <c r="G532" s="1">
        <f>45721</f>
        <v>45721</v>
      </c>
      <c r="H532" t="s">
        <v>51</v>
      </c>
      <c r="I532" s="2">
        <v>4116.24</v>
      </c>
      <c r="J532" s="2">
        <v>3259.41</v>
      </c>
      <c r="K532" s="2">
        <v>856.83</v>
      </c>
      <c r="L532" s="2">
        <v>20.82</v>
      </c>
      <c r="M532" s="2">
        <v>4116.24</v>
      </c>
      <c r="N532" s="2">
        <v>3259.41</v>
      </c>
      <c r="O532" s="2">
        <v>826.72</v>
      </c>
      <c r="P532" s="2">
        <v>20.82</v>
      </c>
    </row>
    <row r="533" spans="1:16" x14ac:dyDescent="0.25">
      <c r="A533" t="s">
        <v>15</v>
      </c>
      <c r="B533" t="s">
        <v>653</v>
      </c>
      <c r="C533" t="s">
        <v>187</v>
      </c>
      <c r="D533" t="s">
        <v>783</v>
      </c>
      <c r="E533" t="s">
        <v>19</v>
      </c>
      <c r="F533" t="s">
        <v>528</v>
      </c>
      <c r="G533" s="1">
        <f>45722</f>
        <v>45722</v>
      </c>
      <c r="H533" t="s">
        <v>51</v>
      </c>
      <c r="I533" s="2">
        <v>332.5</v>
      </c>
      <c r="J533" s="2">
        <v>209.4</v>
      </c>
      <c r="K533" s="2">
        <v>123.1</v>
      </c>
      <c r="L533" s="2">
        <v>37.020000000000003</v>
      </c>
      <c r="M533" s="2">
        <v>332.5</v>
      </c>
      <c r="N533" s="2">
        <v>209.4</v>
      </c>
      <c r="O533" s="2">
        <v>58.1</v>
      </c>
      <c r="P533" s="2">
        <v>37.020000000000003</v>
      </c>
    </row>
    <row r="534" spans="1:16" x14ac:dyDescent="0.25">
      <c r="A534" t="s">
        <v>15</v>
      </c>
      <c r="B534" t="s">
        <v>653</v>
      </c>
      <c r="C534" t="s">
        <v>187</v>
      </c>
      <c r="D534" t="s">
        <v>784</v>
      </c>
      <c r="E534" t="s">
        <v>19</v>
      </c>
      <c r="F534" t="s">
        <v>520</v>
      </c>
      <c r="G534" s="1">
        <f>45726</f>
        <v>45726</v>
      </c>
      <c r="H534" t="s">
        <v>51</v>
      </c>
      <c r="I534" s="2">
        <v>1909</v>
      </c>
      <c r="J534" s="2">
        <v>1227.7</v>
      </c>
      <c r="K534" s="2">
        <v>681.3</v>
      </c>
      <c r="L534" s="2">
        <v>35.69</v>
      </c>
      <c r="M534" s="2">
        <v>1909</v>
      </c>
      <c r="N534" s="2">
        <v>1227.7</v>
      </c>
      <c r="O534" s="2">
        <v>566.29999999999995</v>
      </c>
      <c r="P534" s="2">
        <v>35.69</v>
      </c>
    </row>
    <row r="535" spans="1:16" x14ac:dyDescent="0.25">
      <c r="A535" t="s">
        <v>15</v>
      </c>
      <c r="B535" t="s">
        <v>653</v>
      </c>
      <c r="C535" t="s">
        <v>187</v>
      </c>
      <c r="D535" t="s">
        <v>785</v>
      </c>
      <c r="E535" t="s">
        <v>19</v>
      </c>
      <c r="F535" t="s">
        <v>248</v>
      </c>
      <c r="G535" s="1">
        <f>45727</f>
        <v>45727</v>
      </c>
      <c r="H535" t="s">
        <v>51</v>
      </c>
      <c r="I535" s="2">
        <v>2226.2800000000002</v>
      </c>
      <c r="J535" s="2">
        <v>1558.37</v>
      </c>
      <c r="K535" s="2">
        <v>667.91</v>
      </c>
      <c r="L535" s="2">
        <v>30</v>
      </c>
      <c r="M535" s="2">
        <v>2226.2800000000002</v>
      </c>
      <c r="N535" s="2">
        <v>1558.37</v>
      </c>
      <c r="O535" s="2">
        <v>613.91</v>
      </c>
      <c r="P535" s="2">
        <v>30</v>
      </c>
    </row>
    <row r="536" spans="1:16" x14ac:dyDescent="0.25">
      <c r="A536" t="s">
        <v>15</v>
      </c>
      <c r="B536" t="s">
        <v>653</v>
      </c>
      <c r="C536" t="s">
        <v>187</v>
      </c>
      <c r="D536" t="s">
        <v>786</v>
      </c>
      <c r="E536" t="s">
        <v>19</v>
      </c>
      <c r="F536" t="s">
        <v>248</v>
      </c>
      <c r="G536" s="1">
        <f>45727</f>
        <v>45727</v>
      </c>
      <c r="H536" t="s">
        <v>51</v>
      </c>
      <c r="I536" s="2">
        <v>574.20000000000005</v>
      </c>
      <c r="J536" s="2">
        <v>384.6</v>
      </c>
      <c r="K536" s="2">
        <v>189.6</v>
      </c>
      <c r="L536" s="2">
        <v>33.020000000000003</v>
      </c>
      <c r="M536" s="2">
        <v>574.20000000000005</v>
      </c>
      <c r="N536" s="2">
        <v>384.6</v>
      </c>
      <c r="O536" s="2">
        <v>162.6</v>
      </c>
      <c r="P536" s="2">
        <v>33.020000000000003</v>
      </c>
    </row>
    <row r="537" spans="1:16" x14ac:dyDescent="0.25">
      <c r="A537" t="s">
        <v>15</v>
      </c>
      <c r="B537" t="s">
        <v>653</v>
      </c>
      <c r="C537" t="s">
        <v>187</v>
      </c>
      <c r="D537" t="s">
        <v>787</v>
      </c>
      <c r="E537" t="s">
        <v>19</v>
      </c>
      <c r="F537" t="s">
        <v>198</v>
      </c>
      <c r="G537" s="1">
        <f>45727</f>
        <v>45727</v>
      </c>
      <c r="H537" t="s">
        <v>51</v>
      </c>
      <c r="I537" s="2">
        <v>361.6</v>
      </c>
      <c r="J537" s="2">
        <v>243.88</v>
      </c>
      <c r="K537" s="2">
        <v>117.72</v>
      </c>
      <c r="L537" s="2">
        <v>32.56</v>
      </c>
      <c r="M537" s="2">
        <v>361.6</v>
      </c>
      <c r="N537" s="2">
        <v>243.88</v>
      </c>
      <c r="O537" s="2">
        <v>107.72</v>
      </c>
      <c r="P537" s="2">
        <v>32.56</v>
      </c>
    </row>
    <row r="538" spans="1:16" x14ac:dyDescent="0.25">
      <c r="A538" t="s">
        <v>15</v>
      </c>
      <c r="B538" t="s">
        <v>653</v>
      </c>
      <c r="C538" t="s">
        <v>187</v>
      </c>
      <c r="D538" t="s">
        <v>788</v>
      </c>
      <c r="E538" t="s">
        <v>19</v>
      </c>
      <c r="F538" t="s">
        <v>789</v>
      </c>
      <c r="G538" s="1">
        <f>45728</f>
        <v>45728</v>
      </c>
      <c r="H538" t="s">
        <v>51</v>
      </c>
      <c r="I538" s="2">
        <v>625</v>
      </c>
      <c r="J538" s="2">
        <v>428.48</v>
      </c>
      <c r="K538" s="2">
        <v>196.53</v>
      </c>
      <c r="L538" s="2">
        <v>31.44</v>
      </c>
      <c r="M538" s="2">
        <v>625</v>
      </c>
      <c r="N538" s="2">
        <v>428.5</v>
      </c>
      <c r="O538" s="2">
        <v>186.5</v>
      </c>
      <c r="P538" s="2">
        <v>31.44</v>
      </c>
    </row>
    <row r="539" spans="1:16" x14ac:dyDescent="0.25">
      <c r="A539" t="s">
        <v>15</v>
      </c>
      <c r="B539" t="s">
        <v>653</v>
      </c>
      <c r="C539" t="s">
        <v>187</v>
      </c>
      <c r="D539" t="s">
        <v>790</v>
      </c>
      <c r="E539" t="s">
        <v>19</v>
      </c>
      <c r="F539" t="s">
        <v>211</v>
      </c>
      <c r="G539" s="1">
        <f>45728</f>
        <v>45728</v>
      </c>
      <c r="H539" t="s">
        <v>51</v>
      </c>
      <c r="I539" s="2">
        <v>319.12</v>
      </c>
      <c r="J539" s="2">
        <v>210</v>
      </c>
      <c r="K539" s="2">
        <v>109.12</v>
      </c>
      <c r="L539" s="2">
        <v>34.19</v>
      </c>
      <c r="M539" s="2">
        <v>319.12</v>
      </c>
      <c r="N539" s="2">
        <v>234.7</v>
      </c>
      <c r="O539" s="2">
        <v>74.42</v>
      </c>
      <c r="P539" s="2">
        <v>26.45</v>
      </c>
    </row>
    <row r="540" spans="1:16" x14ac:dyDescent="0.25">
      <c r="A540" t="s">
        <v>15</v>
      </c>
      <c r="B540" t="s">
        <v>653</v>
      </c>
      <c r="C540" t="s">
        <v>187</v>
      </c>
      <c r="D540" t="s">
        <v>791</v>
      </c>
      <c r="E540" t="s">
        <v>19</v>
      </c>
      <c r="F540" t="s">
        <v>520</v>
      </c>
      <c r="G540" s="1">
        <f>45728</f>
        <v>45728</v>
      </c>
      <c r="H540" t="s">
        <v>51</v>
      </c>
      <c r="I540" s="2">
        <v>1820</v>
      </c>
      <c r="J540" s="2">
        <v>1272</v>
      </c>
      <c r="K540" s="2">
        <v>548</v>
      </c>
      <c r="L540" s="2">
        <v>30.11</v>
      </c>
      <c r="M540" s="2">
        <v>1820</v>
      </c>
      <c r="N540" s="2">
        <v>1272</v>
      </c>
      <c r="O540" s="2">
        <v>548</v>
      </c>
      <c r="P540" s="2">
        <v>30.11</v>
      </c>
    </row>
    <row r="541" spans="1:16" x14ac:dyDescent="0.25">
      <c r="A541" t="s">
        <v>15</v>
      </c>
      <c r="B541" t="s">
        <v>653</v>
      </c>
      <c r="C541" t="s">
        <v>187</v>
      </c>
      <c r="D541" t="s">
        <v>792</v>
      </c>
      <c r="E541" t="s">
        <v>19</v>
      </c>
      <c r="F541" t="s">
        <v>547</v>
      </c>
      <c r="G541" s="1">
        <f>45729</f>
        <v>45729</v>
      </c>
      <c r="H541" t="s">
        <v>51</v>
      </c>
      <c r="I541" s="2">
        <v>301</v>
      </c>
      <c r="J541" s="2">
        <v>183.42</v>
      </c>
      <c r="K541" s="2">
        <v>117.58</v>
      </c>
      <c r="L541" s="2">
        <v>39.06</v>
      </c>
      <c r="M541" s="2">
        <v>301</v>
      </c>
      <c r="N541" s="2">
        <v>183.42</v>
      </c>
      <c r="O541" s="2">
        <v>108.58</v>
      </c>
      <c r="P541" s="2">
        <v>39.06</v>
      </c>
    </row>
    <row r="542" spans="1:16" x14ac:dyDescent="0.25">
      <c r="A542" t="s">
        <v>15</v>
      </c>
      <c r="B542" t="s">
        <v>653</v>
      </c>
      <c r="C542" t="s">
        <v>187</v>
      </c>
      <c r="D542" t="s">
        <v>793</v>
      </c>
      <c r="E542" t="s">
        <v>19</v>
      </c>
      <c r="F542" t="s">
        <v>200</v>
      </c>
      <c r="G542" s="1">
        <f>45729</f>
        <v>45729</v>
      </c>
      <c r="H542" t="s">
        <v>51</v>
      </c>
      <c r="I542" s="2">
        <v>1937</v>
      </c>
      <c r="J542" s="2">
        <v>1279</v>
      </c>
      <c r="K542" s="2">
        <v>658</v>
      </c>
      <c r="L542" s="2">
        <v>33.97</v>
      </c>
      <c r="M542" s="2">
        <v>1937</v>
      </c>
      <c r="N542" s="2">
        <v>1279</v>
      </c>
      <c r="O542" s="2">
        <v>623</v>
      </c>
      <c r="P542" s="2">
        <v>33.97</v>
      </c>
    </row>
    <row r="543" spans="1:16" x14ac:dyDescent="0.25">
      <c r="A543" t="s">
        <v>15</v>
      </c>
      <c r="B543" t="s">
        <v>653</v>
      </c>
      <c r="C543" t="s">
        <v>187</v>
      </c>
      <c r="D543" t="s">
        <v>794</v>
      </c>
      <c r="E543" t="s">
        <v>19</v>
      </c>
      <c r="F543" t="s">
        <v>191</v>
      </c>
      <c r="G543" s="1">
        <f>45729</f>
        <v>45729</v>
      </c>
      <c r="H543" t="s">
        <v>51</v>
      </c>
      <c r="I543" s="2">
        <v>4295.2</v>
      </c>
      <c r="J543" s="2">
        <v>3109.2</v>
      </c>
      <c r="K543" s="2">
        <v>1186</v>
      </c>
      <c r="L543" s="2">
        <v>27.61</v>
      </c>
      <c r="M543" s="2">
        <v>4295.2</v>
      </c>
      <c r="N543" s="2">
        <v>3138</v>
      </c>
      <c r="O543" s="2">
        <v>971.2</v>
      </c>
      <c r="P543" s="2">
        <v>26.94</v>
      </c>
    </row>
    <row r="544" spans="1:16" x14ac:dyDescent="0.25">
      <c r="A544" t="s">
        <v>15</v>
      </c>
      <c r="B544" t="s">
        <v>653</v>
      </c>
      <c r="C544" t="s">
        <v>187</v>
      </c>
      <c r="D544" t="s">
        <v>795</v>
      </c>
      <c r="E544" t="s">
        <v>19</v>
      </c>
      <c r="F544" t="s">
        <v>501</v>
      </c>
      <c r="G544" s="1">
        <f>45729</f>
        <v>45729</v>
      </c>
      <c r="H544" t="s">
        <v>51</v>
      </c>
      <c r="I544" s="2">
        <v>1517</v>
      </c>
      <c r="J544" s="2">
        <v>1200.8399999999999</v>
      </c>
      <c r="K544" s="2">
        <v>316.16000000000003</v>
      </c>
      <c r="L544" s="2">
        <v>20.84</v>
      </c>
      <c r="M544" s="2">
        <v>1517</v>
      </c>
      <c r="N544" s="2">
        <v>1200.83</v>
      </c>
      <c r="O544" s="2">
        <v>316.17</v>
      </c>
      <c r="P544" s="2">
        <v>20.84</v>
      </c>
    </row>
    <row r="545" spans="1:16" x14ac:dyDescent="0.25">
      <c r="A545" t="s">
        <v>15</v>
      </c>
      <c r="B545" t="s">
        <v>653</v>
      </c>
      <c r="C545" t="s">
        <v>187</v>
      </c>
      <c r="D545" t="s">
        <v>796</v>
      </c>
      <c r="E545" t="s">
        <v>19</v>
      </c>
      <c r="F545" t="s">
        <v>189</v>
      </c>
      <c r="G545" s="1">
        <f>45729</f>
        <v>45729</v>
      </c>
      <c r="H545" t="s">
        <v>51</v>
      </c>
      <c r="I545" s="2">
        <v>1229.6199999999999</v>
      </c>
      <c r="J545" s="2">
        <v>914.36</v>
      </c>
      <c r="K545" s="2">
        <v>315.26</v>
      </c>
      <c r="L545" s="2">
        <v>25.64</v>
      </c>
      <c r="M545" s="2">
        <v>1229.6199999999999</v>
      </c>
      <c r="N545" s="2">
        <v>910.58</v>
      </c>
      <c r="O545" s="2">
        <v>292.29000000000002</v>
      </c>
      <c r="P545" s="2">
        <v>25.95</v>
      </c>
    </row>
    <row r="546" spans="1:16" x14ac:dyDescent="0.25">
      <c r="A546" t="s">
        <v>15</v>
      </c>
      <c r="B546" t="s">
        <v>653</v>
      </c>
      <c r="C546" t="s">
        <v>187</v>
      </c>
      <c r="D546" t="s">
        <v>797</v>
      </c>
      <c r="E546" t="s">
        <v>19</v>
      </c>
      <c r="F546" t="s">
        <v>507</v>
      </c>
      <c r="G546" s="1">
        <f>45730</f>
        <v>45730</v>
      </c>
      <c r="H546" t="s">
        <v>51</v>
      </c>
      <c r="I546" s="2">
        <v>2560</v>
      </c>
      <c r="J546" s="2">
        <v>1528.7</v>
      </c>
      <c r="K546" s="2">
        <v>1031.3</v>
      </c>
      <c r="L546" s="2">
        <v>40.29</v>
      </c>
      <c r="M546" s="2">
        <v>2560</v>
      </c>
      <c r="N546" s="2">
        <v>1528.7</v>
      </c>
      <c r="O546" s="2">
        <v>989.3</v>
      </c>
      <c r="P546" s="2">
        <v>40.29</v>
      </c>
    </row>
    <row r="547" spans="1:16" x14ac:dyDescent="0.25">
      <c r="A547" t="s">
        <v>15</v>
      </c>
      <c r="B547" t="s">
        <v>653</v>
      </c>
      <c r="C547" t="s">
        <v>187</v>
      </c>
      <c r="D547" t="s">
        <v>798</v>
      </c>
      <c r="E547" t="s">
        <v>19</v>
      </c>
      <c r="F547" t="s">
        <v>799</v>
      </c>
      <c r="G547" s="1">
        <f>45730</f>
        <v>45730</v>
      </c>
      <c r="H547" t="s">
        <v>51</v>
      </c>
      <c r="I547" s="2">
        <v>5010.8</v>
      </c>
      <c r="J547" s="2">
        <v>3180</v>
      </c>
      <c r="K547" s="2">
        <v>1830.8</v>
      </c>
      <c r="L547" s="2">
        <v>36.54</v>
      </c>
      <c r="M547" s="2">
        <v>5010.8</v>
      </c>
      <c r="N547" s="2">
        <v>3180</v>
      </c>
      <c r="O547" s="2">
        <v>1716.8</v>
      </c>
      <c r="P547" s="2">
        <v>36.54</v>
      </c>
    </row>
    <row r="548" spans="1:16" x14ac:dyDescent="0.25">
      <c r="A548" t="s">
        <v>15</v>
      </c>
      <c r="B548" t="s">
        <v>653</v>
      </c>
      <c r="C548" t="s">
        <v>187</v>
      </c>
      <c r="D548" t="s">
        <v>800</v>
      </c>
      <c r="E548" t="s">
        <v>19</v>
      </c>
      <c r="F548" t="s">
        <v>801</v>
      </c>
      <c r="G548" s="1">
        <f>45730</f>
        <v>45730</v>
      </c>
      <c r="H548" t="s">
        <v>51</v>
      </c>
      <c r="I548" s="2">
        <v>548.5</v>
      </c>
      <c r="J548" s="2">
        <v>353</v>
      </c>
      <c r="K548" s="2">
        <v>195.5</v>
      </c>
      <c r="L548" s="2">
        <v>35.64</v>
      </c>
      <c r="M548" s="2">
        <v>548.5</v>
      </c>
      <c r="N548" s="2">
        <v>353</v>
      </c>
      <c r="O548" s="2">
        <v>152.5</v>
      </c>
      <c r="P548" s="2">
        <v>35.64</v>
      </c>
    </row>
    <row r="549" spans="1:16" x14ac:dyDescent="0.25">
      <c r="A549" t="s">
        <v>15</v>
      </c>
      <c r="B549" t="s">
        <v>653</v>
      </c>
      <c r="C549" t="s">
        <v>187</v>
      </c>
      <c r="D549" t="s">
        <v>802</v>
      </c>
      <c r="E549" t="s">
        <v>19</v>
      </c>
      <c r="F549" t="s">
        <v>501</v>
      </c>
      <c r="G549" s="1">
        <f>45735</f>
        <v>45735</v>
      </c>
      <c r="H549" t="s">
        <v>51</v>
      </c>
      <c r="I549" s="2">
        <v>855.9</v>
      </c>
      <c r="J549" s="2">
        <v>675.39</v>
      </c>
      <c r="K549" s="2">
        <v>180.51</v>
      </c>
      <c r="L549" s="2">
        <v>21.09</v>
      </c>
      <c r="M549" s="2">
        <v>855.9</v>
      </c>
      <c r="N549" s="2">
        <v>675.39</v>
      </c>
      <c r="O549" s="2">
        <v>100.51</v>
      </c>
      <c r="P549" s="2">
        <v>21.09</v>
      </c>
    </row>
    <row r="550" spans="1:16" x14ac:dyDescent="0.25">
      <c r="A550" t="s">
        <v>15</v>
      </c>
      <c r="B550" t="s">
        <v>653</v>
      </c>
      <c r="C550" t="s">
        <v>187</v>
      </c>
      <c r="D550" t="s">
        <v>803</v>
      </c>
      <c r="E550" t="s">
        <v>19</v>
      </c>
      <c r="F550" t="s">
        <v>804</v>
      </c>
      <c r="G550" s="1">
        <f>45736</f>
        <v>45736</v>
      </c>
      <c r="H550" t="s">
        <v>51</v>
      </c>
      <c r="I550" s="2">
        <v>1224</v>
      </c>
      <c r="J550" s="2">
        <v>827</v>
      </c>
      <c r="K550" s="2">
        <v>397</v>
      </c>
      <c r="L550" s="2">
        <v>32.43</v>
      </c>
      <c r="M550" s="2">
        <v>1224</v>
      </c>
      <c r="N550" s="2">
        <v>827</v>
      </c>
      <c r="O550" s="2">
        <v>349</v>
      </c>
      <c r="P550" s="2">
        <v>32.43</v>
      </c>
    </row>
    <row r="551" spans="1:16" x14ac:dyDescent="0.25">
      <c r="A551" t="s">
        <v>15</v>
      </c>
      <c r="B551" t="s">
        <v>653</v>
      </c>
      <c r="C551" t="s">
        <v>187</v>
      </c>
      <c r="D551" t="s">
        <v>805</v>
      </c>
      <c r="E551" t="s">
        <v>19</v>
      </c>
      <c r="F551" t="s">
        <v>806</v>
      </c>
      <c r="G551" s="1">
        <f>45736</f>
        <v>45736</v>
      </c>
      <c r="H551" t="s">
        <v>51</v>
      </c>
      <c r="I551" s="2">
        <v>1085.7</v>
      </c>
      <c r="J551" s="2">
        <v>750.52</v>
      </c>
      <c r="K551" s="2">
        <v>335.18</v>
      </c>
      <c r="L551" s="2">
        <v>30.87</v>
      </c>
      <c r="M551" s="2">
        <v>1085.7</v>
      </c>
      <c r="N551" s="2">
        <v>750.52</v>
      </c>
      <c r="O551" s="2">
        <v>320.18</v>
      </c>
      <c r="P551" s="2">
        <v>30.87</v>
      </c>
    </row>
    <row r="552" spans="1:16" x14ac:dyDescent="0.25">
      <c r="A552" t="s">
        <v>15</v>
      </c>
      <c r="B552" t="s">
        <v>653</v>
      </c>
      <c r="C552" t="s">
        <v>187</v>
      </c>
      <c r="D552" t="s">
        <v>807</v>
      </c>
      <c r="E552" t="s">
        <v>19</v>
      </c>
      <c r="F552" t="s">
        <v>189</v>
      </c>
      <c r="G552" s="1">
        <f>45736</f>
        <v>45736</v>
      </c>
      <c r="H552" t="s">
        <v>51</v>
      </c>
      <c r="I552" s="2">
        <v>411.28</v>
      </c>
      <c r="J552" s="2">
        <v>274.01</v>
      </c>
      <c r="K552" s="2">
        <v>137.27000000000001</v>
      </c>
      <c r="L552" s="2">
        <v>33.380000000000003</v>
      </c>
      <c r="M552" s="2">
        <v>411.28</v>
      </c>
      <c r="N552" s="2">
        <v>274</v>
      </c>
      <c r="O552" s="2">
        <v>96.28</v>
      </c>
      <c r="P552" s="2">
        <v>33.380000000000003</v>
      </c>
    </row>
    <row r="553" spans="1:16" x14ac:dyDescent="0.25">
      <c r="A553" t="s">
        <v>15</v>
      </c>
      <c r="B553" t="s">
        <v>653</v>
      </c>
      <c r="C553" t="s">
        <v>187</v>
      </c>
      <c r="D553" t="s">
        <v>808</v>
      </c>
      <c r="E553" t="s">
        <v>19</v>
      </c>
      <c r="F553" t="s">
        <v>219</v>
      </c>
      <c r="G553" s="1">
        <f>45736</f>
        <v>45736</v>
      </c>
      <c r="H553" t="s">
        <v>51</v>
      </c>
      <c r="I553" s="2">
        <v>1836.42</v>
      </c>
      <c r="J553" s="2">
        <v>1297.4000000000001</v>
      </c>
      <c r="K553" s="2">
        <v>539.02</v>
      </c>
      <c r="L553" s="2">
        <v>29.35</v>
      </c>
      <c r="M553" s="2">
        <v>1836.42</v>
      </c>
      <c r="N553" s="2">
        <v>1297.3800000000001</v>
      </c>
      <c r="O553" s="2">
        <v>515.04</v>
      </c>
      <c r="P553" s="2">
        <v>29.35</v>
      </c>
    </row>
    <row r="554" spans="1:16" x14ac:dyDescent="0.25">
      <c r="A554" t="s">
        <v>15</v>
      </c>
      <c r="B554" t="s">
        <v>653</v>
      </c>
      <c r="C554" t="s">
        <v>187</v>
      </c>
      <c r="D554" t="s">
        <v>809</v>
      </c>
      <c r="E554" t="s">
        <v>19</v>
      </c>
      <c r="F554" t="s">
        <v>189</v>
      </c>
      <c r="G554" s="1">
        <f>45737</f>
        <v>45737</v>
      </c>
      <c r="H554" t="s">
        <v>51</v>
      </c>
      <c r="I554" s="2">
        <v>1191</v>
      </c>
      <c r="J554" s="2">
        <v>767.92</v>
      </c>
      <c r="K554" s="2">
        <v>423.08</v>
      </c>
      <c r="L554" s="2">
        <v>35.520000000000003</v>
      </c>
      <c r="M554" s="2">
        <v>1191</v>
      </c>
      <c r="N554" s="2">
        <v>767.92</v>
      </c>
      <c r="O554" s="2">
        <v>397.16</v>
      </c>
      <c r="P554" s="2">
        <v>35.520000000000003</v>
      </c>
    </row>
    <row r="555" spans="1:16" x14ac:dyDescent="0.25">
      <c r="A555" t="s">
        <v>15</v>
      </c>
      <c r="B555" t="s">
        <v>653</v>
      </c>
      <c r="C555" t="s">
        <v>187</v>
      </c>
      <c r="D555" t="s">
        <v>810</v>
      </c>
      <c r="E555" t="s">
        <v>19</v>
      </c>
      <c r="F555" t="s">
        <v>806</v>
      </c>
      <c r="G555" s="1">
        <f>45737</f>
        <v>45737</v>
      </c>
      <c r="H555" t="s">
        <v>51</v>
      </c>
      <c r="I555" s="2">
        <v>361</v>
      </c>
      <c r="J555" s="2">
        <v>200.92</v>
      </c>
      <c r="K555" s="2">
        <v>160.08000000000001</v>
      </c>
      <c r="L555" s="2">
        <v>44.34</v>
      </c>
      <c r="M555" s="2">
        <v>361</v>
      </c>
      <c r="N555" s="2">
        <v>200.92</v>
      </c>
      <c r="O555" s="2">
        <v>101.08</v>
      </c>
      <c r="P555" s="2">
        <v>44.34</v>
      </c>
    </row>
    <row r="556" spans="1:16" x14ac:dyDescent="0.25">
      <c r="A556" t="s">
        <v>15</v>
      </c>
      <c r="B556" t="s">
        <v>653</v>
      </c>
      <c r="C556" t="s">
        <v>187</v>
      </c>
      <c r="D556" t="s">
        <v>811</v>
      </c>
      <c r="E556" t="s">
        <v>19</v>
      </c>
      <c r="F556" t="s">
        <v>507</v>
      </c>
      <c r="G556" s="1">
        <f>45740</f>
        <v>45740</v>
      </c>
      <c r="H556" t="s">
        <v>51</v>
      </c>
      <c r="I556" s="2">
        <v>879.9</v>
      </c>
      <c r="J556" s="2">
        <v>601.83000000000004</v>
      </c>
      <c r="K556" s="2">
        <v>278.07</v>
      </c>
      <c r="L556" s="2">
        <v>31.6</v>
      </c>
      <c r="M556" s="2">
        <v>879.9</v>
      </c>
      <c r="N556" s="2">
        <v>601.83000000000004</v>
      </c>
      <c r="O556" s="2">
        <v>248.07</v>
      </c>
      <c r="P556" s="2">
        <v>31.6</v>
      </c>
    </row>
    <row r="557" spans="1:16" x14ac:dyDescent="0.25">
      <c r="A557" t="s">
        <v>15</v>
      </c>
      <c r="B557" t="s">
        <v>653</v>
      </c>
      <c r="C557" t="s">
        <v>187</v>
      </c>
      <c r="D557" t="s">
        <v>812</v>
      </c>
      <c r="E557" t="s">
        <v>19</v>
      </c>
      <c r="F557" t="s">
        <v>520</v>
      </c>
      <c r="G557" s="1">
        <f>45741</f>
        <v>45741</v>
      </c>
      <c r="H557" t="s">
        <v>51</v>
      </c>
      <c r="I557" s="2">
        <v>373</v>
      </c>
      <c r="J557" s="2">
        <v>249</v>
      </c>
      <c r="K557" s="2">
        <v>124</v>
      </c>
      <c r="L557" s="2">
        <v>33.24</v>
      </c>
      <c r="M557" s="2">
        <v>373</v>
      </c>
      <c r="N557" s="2">
        <v>249</v>
      </c>
      <c r="O557" s="2">
        <v>73</v>
      </c>
      <c r="P557" s="2">
        <v>33.24</v>
      </c>
    </row>
    <row r="558" spans="1:16" x14ac:dyDescent="0.25">
      <c r="A558" t="s">
        <v>15</v>
      </c>
      <c r="B558" t="s">
        <v>653</v>
      </c>
      <c r="C558" t="s">
        <v>187</v>
      </c>
      <c r="D558" t="s">
        <v>813</v>
      </c>
      <c r="E558" t="s">
        <v>19</v>
      </c>
      <c r="F558" t="s">
        <v>215</v>
      </c>
      <c r="G558" s="1">
        <f>45742</f>
        <v>45742</v>
      </c>
      <c r="H558" t="s">
        <v>51</v>
      </c>
      <c r="I558" s="2">
        <v>353.7</v>
      </c>
      <c r="J558" s="2">
        <v>231.7</v>
      </c>
      <c r="K558" s="2">
        <v>122</v>
      </c>
      <c r="L558" s="2">
        <v>34.49</v>
      </c>
      <c r="M558" s="2">
        <v>353.7</v>
      </c>
      <c r="N558" s="2">
        <v>231.7</v>
      </c>
      <c r="O558" s="2">
        <v>107</v>
      </c>
      <c r="P558" s="2">
        <v>34.49</v>
      </c>
    </row>
    <row r="559" spans="1:16" x14ac:dyDescent="0.25">
      <c r="A559" t="s">
        <v>15</v>
      </c>
      <c r="B559" t="s">
        <v>653</v>
      </c>
      <c r="C559" t="s">
        <v>187</v>
      </c>
      <c r="D559" t="s">
        <v>814</v>
      </c>
      <c r="E559" t="s">
        <v>19</v>
      </c>
      <c r="F559" t="s">
        <v>189</v>
      </c>
      <c r="G559" s="1">
        <f>45743</f>
        <v>45743</v>
      </c>
      <c r="H559" t="s">
        <v>51</v>
      </c>
      <c r="I559" s="2">
        <v>542</v>
      </c>
      <c r="J559" s="2">
        <v>361</v>
      </c>
      <c r="K559" s="2">
        <v>181</v>
      </c>
      <c r="L559" s="2">
        <v>33.39</v>
      </c>
      <c r="M559" s="2">
        <v>542</v>
      </c>
      <c r="N559" s="2">
        <v>361</v>
      </c>
      <c r="O559" s="2">
        <v>156</v>
      </c>
      <c r="P559" s="2">
        <v>33.39</v>
      </c>
    </row>
    <row r="560" spans="1:16" x14ac:dyDescent="0.25">
      <c r="A560" t="s">
        <v>15</v>
      </c>
      <c r="B560" t="s">
        <v>653</v>
      </c>
      <c r="C560" t="s">
        <v>187</v>
      </c>
      <c r="D560" t="s">
        <v>815</v>
      </c>
      <c r="E560" t="s">
        <v>19</v>
      </c>
      <c r="F560" t="s">
        <v>816</v>
      </c>
      <c r="G560" s="1">
        <f>45743</f>
        <v>45743</v>
      </c>
      <c r="H560" t="s">
        <v>51</v>
      </c>
      <c r="I560" s="2">
        <v>203.4</v>
      </c>
      <c r="J560" s="2">
        <v>146.91</v>
      </c>
      <c r="K560" s="2">
        <v>56.49</v>
      </c>
      <c r="L560" s="2">
        <v>27.77</v>
      </c>
      <c r="M560" s="2">
        <v>203.4</v>
      </c>
      <c r="N560" s="2">
        <v>146.91</v>
      </c>
      <c r="O560" s="2">
        <v>27.49</v>
      </c>
      <c r="P560" s="2">
        <v>27.77</v>
      </c>
    </row>
    <row r="561" spans="1:16" x14ac:dyDescent="0.25">
      <c r="A561" t="s">
        <v>15</v>
      </c>
      <c r="B561" t="s">
        <v>653</v>
      </c>
      <c r="C561" t="s">
        <v>187</v>
      </c>
      <c r="D561" t="s">
        <v>817</v>
      </c>
      <c r="E561" t="s">
        <v>19</v>
      </c>
      <c r="F561" t="s">
        <v>818</v>
      </c>
      <c r="G561" s="1">
        <f>45747</f>
        <v>45747</v>
      </c>
      <c r="H561" t="s">
        <v>51</v>
      </c>
      <c r="I561" s="2">
        <v>680</v>
      </c>
      <c r="J561" s="2">
        <v>459.96</v>
      </c>
      <c r="K561" s="2">
        <v>220.04</v>
      </c>
      <c r="L561" s="2">
        <v>32.36</v>
      </c>
      <c r="M561" s="2">
        <v>680</v>
      </c>
      <c r="N561" s="2">
        <v>459.96</v>
      </c>
      <c r="O561" s="2">
        <v>181.04</v>
      </c>
      <c r="P561" s="2">
        <v>32.36</v>
      </c>
    </row>
    <row r="562" spans="1:16" x14ac:dyDescent="0.25">
      <c r="A562" t="s">
        <v>15</v>
      </c>
      <c r="B562" t="s">
        <v>653</v>
      </c>
      <c r="C562" t="s">
        <v>187</v>
      </c>
      <c r="D562" t="s">
        <v>819</v>
      </c>
      <c r="E562" t="s">
        <v>19</v>
      </c>
      <c r="F562" t="s">
        <v>191</v>
      </c>
      <c r="G562" s="1">
        <f>45747</f>
        <v>45747</v>
      </c>
      <c r="H562" t="s">
        <v>51</v>
      </c>
      <c r="I562" s="2">
        <v>1287.9000000000001</v>
      </c>
      <c r="J562" s="2">
        <v>741.63</v>
      </c>
      <c r="K562" s="2">
        <v>546.27</v>
      </c>
      <c r="L562" s="2">
        <v>42.42</v>
      </c>
      <c r="M562" s="2">
        <v>1287.9000000000001</v>
      </c>
      <c r="N562" s="2">
        <v>901.54</v>
      </c>
      <c r="O562" s="2">
        <v>377.36</v>
      </c>
      <c r="P562" s="2">
        <v>30</v>
      </c>
    </row>
    <row r="563" spans="1:16" x14ac:dyDescent="0.25">
      <c r="A563" t="s">
        <v>15</v>
      </c>
      <c r="B563" t="s">
        <v>653</v>
      </c>
      <c r="C563" t="s">
        <v>187</v>
      </c>
      <c r="D563" t="s">
        <v>820</v>
      </c>
      <c r="E563" t="s">
        <v>19</v>
      </c>
      <c r="F563" t="s">
        <v>191</v>
      </c>
      <c r="G563" s="1">
        <f>45747</f>
        <v>45747</v>
      </c>
      <c r="H563" t="s">
        <v>51</v>
      </c>
      <c r="I563" s="2">
        <v>1220.9000000000001</v>
      </c>
      <c r="J563" s="2">
        <v>800.4</v>
      </c>
      <c r="K563" s="2">
        <v>420.5</v>
      </c>
      <c r="L563" s="2">
        <v>34.44</v>
      </c>
      <c r="M563" s="2">
        <v>1220.9000000000001</v>
      </c>
      <c r="N563" s="2">
        <v>800.4</v>
      </c>
      <c r="O563" s="2">
        <v>371.5</v>
      </c>
      <c r="P563" s="2">
        <v>34.44</v>
      </c>
    </row>
    <row r="564" spans="1:16" x14ac:dyDescent="0.25">
      <c r="A564" t="s">
        <v>15</v>
      </c>
      <c r="B564" t="s">
        <v>653</v>
      </c>
      <c r="C564" t="s">
        <v>187</v>
      </c>
      <c r="D564" t="s">
        <v>821</v>
      </c>
      <c r="E564" t="s">
        <v>19</v>
      </c>
      <c r="F564" t="s">
        <v>248</v>
      </c>
      <c r="G564" s="1">
        <f>45747</f>
        <v>45747</v>
      </c>
      <c r="H564" t="s">
        <v>51</v>
      </c>
      <c r="I564" s="2">
        <v>801.55</v>
      </c>
      <c r="J564" s="2">
        <v>573.6</v>
      </c>
      <c r="K564" s="2">
        <v>227.95</v>
      </c>
      <c r="L564" s="2">
        <v>28.44</v>
      </c>
      <c r="M564" s="2">
        <v>801.55</v>
      </c>
      <c r="N564" s="2">
        <v>573.6</v>
      </c>
      <c r="O564" s="2">
        <v>149.94999999999999</v>
      </c>
      <c r="P564" s="2">
        <v>28.44</v>
      </c>
    </row>
    <row r="565" spans="1:16" x14ac:dyDescent="0.25">
      <c r="A565" t="s">
        <v>15</v>
      </c>
      <c r="B565" t="s">
        <v>653</v>
      </c>
      <c r="C565" t="s">
        <v>187</v>
      </c>
      <c r="D565" t="s">
        <v>822</v>
      </c>
      <c r="E565" t="s">
        <v>19</v>
      </c>
      <c r="F565" t="s">
        <v>219</v>
      </c>
      <c r="G565" s="1">
        <f>45747</f>
        <v>45747</v>
      </c>
      <c r="H565" t="s">
        <v>51</v>
      </c>
      <c r="I565" s="2">
        <v>304.22000000000003</v>
      </c>
      <c r="J565" s="2">
        <v>203.37</v>
      </c>
      <c r="K565" s="2">
        <v>100.85</v>
      </c>
      <c r="L565" s="2">
        <v>33.15</v>
      </c>
      <c r="M565" s="2">
        <v>304.22000000000003</v>
      </c>
      <c r="N565" s="2">
        <v>203.37</v>
      </c>
      <c r="O565" s="2">
        <v>91.85</v>
      </c>
      <c r="P565" s="2">
        <v>33.15</v>
      </c>
    </row>
    <row r="566" spans="1:16" x14ac:dyDescent="0.25">
      <c r="A566" t="s">
        <v>15</v>
      </c>
      <c r="B566" t="s">
        <v>653</v>
      </c>
      <c r="C566" t="s">
        <v>187</v>
      </c>
      <c r="D566" t="s">
        <v>823</v>
      </c>
      <c r="E566" t="s">
        <v>19</v>
      </c>
      <c r="F566" t="s">
        <v>507</v>
      </c>
      <c r="G566" s="1">
        <f>45727</f>
        <v>45727</v>
      </c>
      <c r="H566" t="s">
        <v>51</v>
      </c>
      <c r="I566" s="2">
        <v>2503.3000000000002</v>
      </c>
      <c r="J566" s="2">
        <v>1499.26</v>
      </c>
      <c r="K566" s="2">
        <v>1004.04</v>
      </c>
      <c r="L566" s="2">
        <v>40.11</v>
      </c>
      <c r="M566" s="2">
        <v>2503.3000000000002</v>
      </c>
      <c r="N566" s="2">
        <v>1499.26</v>
      </c>
      <c r="O566" s="2">
        <v>908.04</v>
      </c>
      <c r="P566" s="2">
        <v>40.11</v>
      </c>
    </row>
    <row r="567" spans="1:16" x14ac:dyDescent="0.25">
      <c r="A567" t="s">
        <v>15</v>
      </c>
      <c r="B567" t="s">
        <v>653</v>
      </c>
      <c r="C567" t="s">
        <v>187</v>
      </c>
      <c r="D567" t="s">
        <v>824</v>
      </c>
      <c r="E567" t="s">
        <v>19</v>
      </c>
      <c r="F567" t="s">
        <v>520</v>
      </c>
      <c r="G567" s="1">
        <f>45723</f>
        <v>45723</v>
      </c>
      <c r="H567" t="s">
        <v>51</v>
      </c>
      <c r="I567" s="2">
        <v>2699.55</v>
      </c>
      <c r="J567" s="2">
        <v>1669.04</v>
      </c>
      <c r="K567" s="2">
        <v>1030.51</v>
      </c>
      <c r="L567" s="2">
        <v>38.17</v>
      </c>
      <c r="M567" s="2">
        <v>2699.55</v>
      </c>
      <c r="N567" s="2">
        <v>1669.04</v>
      </c>
      <c r="O567" s="2">
        <v>960.51</v>
      </c>
      <c r="P567" s="2">
        <v>38.17</v>
      </c>
    </row>
    <row r="568" spans="1:16" x14ac:dyDescent="0.25">
      <c r="A568" t="s">
        <v>15</v>
      </c>
      <c r="B568" t="s">
        <v>653</v>
      </c>
      <c r="C568" t="s">
        <v>187</v>
      </c>
      <c r="D568" t="s">
        <v>825</v>
      </c>
      <c r="E568" t="s">
        <v>19</v>
      </c>
      <c r="F568" t="s">
        <v>248</v>
      </c>
      <c r="G568" s="1">
        <f>45747</f>
        <v>45747</v>
      </c>
      <c r="H568" t="s">
        <v>51</v>
      </c>
      <c r="I568" s="2">
        <v>5910</v>
      </c>
      <c r="J568" s="2">
        <v>0</v>
      </c>
      <c r="K568" s="2">
        <v>5910</v>
      </c>
      <c r="L568" s="2">
        <v>100</v>
      </c>
      <c r="M568" s="2">
        <v>5910</v>
      </c>
      <c r="N568" s="2">
        <v>0</v>
      </c>
      <c r="O568" s="2">
        <v>5910</v>
      </c>
      <c r="P568" s="2">
        <v>100</v>
      </c>
    </row>
    <row r="569" spans="1:16" x14ac:dyDescent="0.25">
      <c r="A569" t="s">
        <v>15</v>
      </c>
      <c r="B569" t="s">
        <v>653</v>
      </c>
      <c r="C569" t="s">
        <v>252</v>
      </c>
      <c r="D569" t="s">
        <v>826</v>
      </c>
      <c r="E569" t="s">
        <v>19</v>
      </c>
      <c r="F569" t="s">
        <v>292</v>
      </c>
      <c r="G569" s="1">
        <f>45719</f>
        <v>45719</v>
      </c>
      <c r="H569" t="s">
        <v>2422</v>
      </c>
      <c r="I569" s="2">
        <v>2071.1</v>
      </c>
      <c r="J569" s="2">
        <v>922.86</v>
      </c>
      <c r="K569" s="2">
        <v>1148.24</v>
      </c>
      <c r="L569" s="2">
        <v>55.44</v>
      </c>
      <c r="M569" s="2">
        <v>2071.1</v>
      </c>
      <c r="N569" s="2">
        <v>922.86</v>
      </c>
      <c r="O569" s="2">
        <v>1096.74</v>
      </c>
      <c r="P569" s="2">
        <v>55.44</v>
      </c>
    </row>
    <row r="570" spans="1:16" x14ac:dyDescent="0.25">
      <c r="A570" t="s">
        <v>15</v>
      </c>
      <c r="B570" t="s">
        <v>653</v>
      </c>
      <c r="C570" t="s">
        <v>252</v>
      </c>
      <c r="D570" t="s">
        <v>827</v>
      </c>
      <c r="E570" t="s">
        <v>19</v>
      </c>
      <c r="F570" t="s">
        <v>281</v>
      </c>
      <c r="G570" s="1">
        <f>45719</f>
        <v>45719</v>
      </c>
      <c r="H570" t="s">
        <v>2422</v>
      </c>
      <c r="I570" s="2">
        <v>150</v>
      </c>
      <c r="J570" s="2">
        <v>104.47</v>
      </c>
      <c r="K570" s="2">
        <v>45.53</v>
      </c>
      <c r="L570" s="2">
        <v>30.35</v>
      </c>
      <c r="M570" s="2">
        <v>150</v>
      </c>
      <c r="N570" s="2">
        <v>104.47</v>
      </c>
      <c r="O570" s="2">
        <v>-5.97</v>
      </c>
      <c r="P570" s="2">
        <v>30.35</v>
      </c>
    </row>
    <row r="571" spans="1:16" x14ac:dyDescent="0.25">
      <c r="A571" t="s">
        <v>15</v>
      </c>
      <c r="B571" t="s">
        <v>653</v>
      </c>
      <c r="C571" t="s">
        <v>252</v>
      </c>
      <c r="D571" t="s">
        <v>828</v>
      </c>
      <c r="E571" t="s">
        <v>19</v>
      </c>
      <c r="F571" t="s">
        <v>267</v>
      </c>
      <c r="G571" s="1">
        <f>45719</f>
        <v>45719</v>
      </c>
      <c r="H571" t="s">
        <v>2422</v>
      </c>
      <c r="I571" s="2">
        <v>1163.4000000000001</v>
      </c>
      <c r="J571" s="2">
        <v>791.98</v>
      </c>
      <c r="K571" s="2">
        <v>371.42</v>
      </c>
      <c r="L571" s="2">
        <v>31.93</v>
      </c>
      <c r="M571" s="2">
        <v>1163.4000000000001</v>
      </c>
      <c r="N571" s="2">
        <v>776.76</v>
      </c>
      <c r="O571" s="2">
        <v>354.64</v>
      </c>
      <c r="P571" s="2">
        <v>33.229999999999997</v>
      </c>
    </row>
    <row r="572" spans="1:16" x14ac:dyDescent="0.25">
      <c r="A572" t="s">
        <v>15</v>
      </c>
      <c r="B572" t="s">
        <v>653</v>
      </c>
      <c r="C572" t="s">
        <v>252</v>
      </c>
      <c r="D572" t="s">
        <v>829</v>
      </c>
      <c r="E572" t="s">
        <v>19</v>
      </c>
      <c r="F572" t="s">
        <v>830</v>
      </c>
      <c r="G572" s="1">
        <f>45721</f>
        <v>45721</v>
      </c>
      <c r="H572" t="s">
        <v>2422</v>
      </c>
      <c r="I572" s="2">
        <v>361.6</v>
      </c>
      <c r="J572" s="2">
        <v>268.69</v>
      </c>
      <c r="K572" s="2">
        <v>92.91</v>
      </c>
      <c r="L572" s="2">
        <v>25.69</v>
      </c>
      <c r="M572" s="2">
        <v>361.6</v>
      </c>
      <c r="N572" s="2">
        <v>268.69</v>
      </c>
      <c r="O572" s="2">
        <v>52.91</v>
      </c>
      <c r="P572" s="2">
        <v>25.69</v>
      </c>
    </row>
    <row r="573" spans="1:16" x14ac:dyDescent="0.25">
      <c r="A573" t="s">
        <v>15</v>
      </c>
      <c r="B573" t="s">
        <v>653</v>
      </c>
      <c r="C573" t="s">
        <v>252</v>
      </c>
      <c r="D573" t="s">
        <v>831</v>
      </c>
      <c r="E573" t="s">
        <v>19</v>
      </c>
      <c r="F573" t="s">
        <v>281</v>
      </c>
      <c r="G573" s="1">
        <f>45721</f>
        <v>45721</v>
      </c>
      <c r="H573" t="s">
        <v>2422</v>
      </c>
      <c r="I573" s="2">
        <v>2204.4</v>
      </c>
      <c r="J573" s="2">
        <v>1513</v>
      </c>
      <c r="K573" s="2">
        <v>691.4</v>
      </c>
      <c r="L573" s="2">
        <v>31.36</v>
      </c>
      <c r="M573" s="2">
        <v>2204.4</v>
      </c>
      <c r="N573" s="2">
        <v>1513</v>
      </c>
      <c r="O573" s="2">
        <v>636.4</v>
      </c>
      <c r="P573" s="2">
        <v>31.36</v>
      </c>
    </row>
    <row r="574" spans="1:16" x14ac:dyDescent="0.25">
      <c r="A574" t="s">
        <v>15</v>
      </c>
      <c r="B574" t="s">
        <v>653</v>
      </c>
      <c r="C574" t="s">
        <v>252</v>
      </c>
      <c r="D574" t="s">
        <v>832</v>
      </c>
      <c r="E574" t="s">
        <v>19</v>
      </c>
      <c r="F574" t="s">
        <v>833</v>
      </c>
      <c r="G574" s="1">
        <f>45722</f>
        <v>45722</v>
      </c>
      <c r="H574" t="s">
        <v>2422</v>
      </c>
      <c r="I574" s="2">
        <v>871.51</v>
      </c>
      <c r="J574" s="2">
        <v>590.91</v>
      </c>
      <c r="K574" s="2">
        <v>280.60000000000002</v>
      </c>
      <c r="L574" s="2">
        <v>32.200000000000003</v>
      </c>
      <c r="M574" s="2">
        <v>871.51</v>
      </c>
      <c r="N574" s="2">
        <v>590.91</v>
      </c>
      <c r="O574" s="2">
        <v>255.6</v>
      </c>
      <c r="P574" s="2">
        <v>32.200000000000003</v>
      </c>
    </row>
    <row r="575" spans="1:16" x14ac:dyDescent="0.25">
      <c r="A575" t="s">
        <v>15</v>
      </c>
      <c r="B575" t="s">
        <v>653</v>
      </c>
      <c r="C575" t="s">
        <v>252</v>
      </c>
      <c r="D575" t="s">
        <v>834</v>
      </c>
      <c r="E575" t="s">
        <v>19</v>
      </c>
      <c r="F575" t="s">
        <v>574</v>
      </c>
      <c r="G575" s="1">
        <f>45722</f>
        <v>45722</v>
      </c>
      <c r="H575" t="s">
        <v>2422</v>
      </c>
      <c r="I575" s="2">
        <v>258.32</v>
      </c>
      <c r="J575" s="2">
        <v>174.34</v>
      </c>
      <c r="K575" s="2">
        <v>83.98</v>
      </c>
      <c r="L575" s="2">
        <v>32.51</v>
      </c>
      <c r="M575" s="2">
        <v>258.32</v>
      </c>
      <c r="N575" s="2">
        <v>174.34</v>
      </c>
      <c r="O575" s="2">
        <v>74.98</v>
      </c>
      <c r="P575" s="2">
        <v>32.51</v>
      </c>
    </row>
    <row r="576" spans="1:16" x14ac:dyDescent="0.25">
      <c r="A576" t="s">
        <v>15</v>
      </c>
      <c r="B576" t="s">
        <v>653</v>
      </c>
      <c r="C576" t="s">
        <v>252</v>
      </c>
      <c r="D576" t="s">
        <v>835</v>
      </c>
      <c r="E576" t="s">
        <v>19</v>
      </c>
      <c r="F576" t="s">
        <v>836</v>
      </c>
      <c r="G576" s="1">
        <f>45723</f>
        <v>45723</v>
      </c>
      <c r="H576" t="s">
        <v>2422</v>
      </c>
      <c r="I576" s="2">
        <v>616.75</v>
      </c>
      <c r="J576" s="2">
        <v>421.94</v>
      </c>
      <c r="K576" s="2">
        <v>194.81</v>
      </c>
      <c r="L576" s="2">
        <v>31.59</v>
      </c>
      <c r="M576" s="2">
        <v>616.75</v>
      </c>
      <c r="N576" s="2">
        <v>421.94</v>
      </c>
      <c r="O576" s="2">
        <v>154.81</v>
      </c>
      <c r="P576" s="2">
        <v>31.59</v>
      </c>
    </row>
    <row r="577" spans="1:16" x14ac:dyDescent="0.25">
      <c r="A577" t="s">
        <v>15</v>
      </c>
      <c r="B577" t="s">
        <v>653</v>
      </c>
      <c r="C577" t="s">
        <v>252</v>
      </c>
      <c r="D577" t="s">
        <v>837</v>
      </c>
      <c r="E577" t="s">
        <v>47</v>
      </c>
      <c r="F577" t="s">
        <v>292</v>
      </c>
      <c r="G577" s="1">
        <f>45723</f>
        <v>45723</v>
      </c>
      <c r="H577" t="s">
        <v>2422</v>
      </c>
      <c r="I577" s="2">
        <v>370.2</v>
      </c>
      <c r="J577" s="2">
        <v>243.76</v>
      </c>
      <c r="K577" s="2">
        <v>126.44</v>
      </c>
      <c r="L577" s="2">
        <v>34.15</v>
      </c>
      <c r="M577" s="2">
        <v>370.2</v>
      </c>
      <c r="N577" s="2">
        <v>243.76</v>
      </c>
      <c r="O577" s="2">
        <v>92.44</v>
      </c>
      <c r="P577" s="2">
        <v>34.15</v>
      </c>
    </row>
    <row r="578" spans="1:16" x14ac:dyDescent="0.25">
      <c r="A578" t="s">
        <v>15</v>
      </c>
      <c r="B578" t="s">
        <v>653</v>
      </c>
      <c r="C578" t="s">
        <v>252</v>
      </c>
      <c r="D578" t="s">
        <v>838</v>
      </c>
      <c r="E578" t="s">
        <v>19</v>
      </c>
      <c r="F578" t="s">
        <v>576</v>
      </c>
      <c r="G578" s="1">
        <f>45726</f>
        <v>45726</v>
      </c>
      <c r="H578" t="s">
        <v>2422</v>
      </c>
      <c r="I578" s="2">
        <v>2564</v>
      </c>
      <c r="J578" s="2">
        <v>1918.25</v>
      </c>
      <c r="K578" s="2">
        <v>645.75</v>
      </c>
      <c r="L578" s="2">
        <v>25.19</v>
      </c>
      <c r="M578" s="2">
        <v>2564</v>
      </c>
      <c r="N578" s="2">
        <v>1918.25</v>
      </c>
      <c r="O578" s="2">
        <v>601.75</v>
      </c>
      <c r="P578" s="2">
        <v>25.19</v>
      </c>
    </row>
    <row r="579" spans="1:16" x14ac:dyDescent="0.25">
      <c r="A579" t="s">
        <v>15</v>
      </c>
      <c r="B579" t="s">
        <v>653</v>
      </c>
      <c r="C579" t="s">
        <v>252</v>
      </c>
      <c r="D579" t="s">
        <v>839</v>
      </c>
      <c r="E579" t="s">
        <v>19</v>
      </c>
      <c r="F579" t="s">
        <v>574</v>
      </c>
      <c r="G579" s="1">
        <f>45727</f>
        <v>45727</v>
      </c>
      <c r="H579" t="s">
        <v>2422</v>
      </c>
      <c r="I579" s="2">
        <v>253</v>
      </c>
      <c r="J579" s="2">
        <v>135</v>
      </c>
      <c r="K579" s="2">
        <v>118</v>
      </c>
      <c r="L579" s="2">
        <v>46.64</v>
      </c>
      <c r="M579" s="2">
        <v>253</v>
      </c>
      <c r="N579" s="2">
        <v>135</v>
      </c>
      <c r="O579" s="2">
        <v>97</v>
      </c>
      <c r="P579" s="2">
        <v>46.64</v>
      </c>
    </row>
    <row r="580" spans="1:16" x14ac:dyDescent="0.25">
      <c r="A580" t="s">
        <v>15</v>
      </c>
      <c r="B580" t="s">
        <v>653</v>
      </c>
      <c r="C580" t="s">
        <v>252</v>
      </c>
      <c r="D580" t="s">
        <v>840</v>
      </c>
      <c r="E580" t="s">
        <v>19</v>
      </c>
      <c r="F580" t="s">
        <v>841</v>
      </c>
      <c r="G580" s="1">
        <f>45729</f>
        <v>45729</v>
      </c>
      <c r="H580" t="s">
        <v>2422</v>
      </c>
      <c r="I580" s="2">
        <v>181.8</v>
      </c>
      <c r="J580" s="2">
        <v>116.07</v>
      </c>
      <c r="K580" s="2">
        <v>65.73</v>
      </c>
      <c r="L580" s="2">
        <v>36.159999999999997</v>
      </c>
      <c r="M580" s="2">
        <v>181.8</v>
      </c>
      <c r="N580" s="2">
        <v>116.07</v>
      </c>
      <c r="O580" s="2">
        <v>37.729999999999997</v>
      </c>
      <c r="P580" s="2">
        <v>36.159999999999997</v>
      </c>
    </row>
    <row r="581" spans="1:16" x14ac:dyDescent="0.25">
      <c r="A581" t="s">
        <v>15</v>
      </c>
      <c r="B581" t="s">
        <v>653</v>
      </c>
      <c r="C581" t="s">
        <v>252</v>
      </c>
      <c r="D581" t="s">
        <v>842</v>
      </c>
      <c r="E581" t="s">
        <v>19</v>
      </c>
      <c r="F581" t="s">
        <v>281</v>
      </c>
      <c r="G581" s="1">
        <f>45730</f>
        <v>45730</v>
      </c>
      <c r="H581" t="s">
        <v>2422</v>
      </c>
      <c r="I581" s="2">
        <v>3155.1</v>
      </c>
      <c r="J581" s="2">
        <v>1982.96</v>
      </c>
      <c r="K581" s="2">
        <v>1172.1400000000001</v>
      </c>
      <c r="L581" s="2">
        <v>37.15</v>
      </c>
      <c r="M581" s="2">
        <v>3155.1</v>
      </c>
      <c r="N581" s="2">
        <v>1982.96</v>
      </c>
      <c r="O581" s="2">
        <v>1114.1400000000001</v>
      </c>
      <c r="P581" s="2">
        <v>37.15</v>
      </c>
    </row>
    <row r="582" spans="1:16" x14ac:dyDescent="0.25">
      <c r="A582" t="s">
        <v>15</v>
      </c>
      <c r="B582" t="s">
        <v>653</v>
      </c>
      <c r="C582" t="s">
        <v>252</v>
      </c>
      <c r="D582" t="s">
        <v>843</v>
      </c>
      <c r="E582" t="s">
        <v>47</v>
      </c>
      <c r="F582" t="s">
        <v>279</v>
      </c>
      <c r="G582" s="1">
        <f>45730</f>
        <v>45730</v>
      </c>
      <c r="H582" t="s">
        <v>2422</v>
      </c>
      <c r="I582" s="2">
        <v>387.8</v>
      </c>
      <c r="J582" s="2">
        <v>259.72000000000003</v>
      </c>
      <c r="K582" s="2">
        <v>128.08000000000001</v>
      </c>
      <c r="L582" s="2">
        <v>33.03</v>
      </c>
      <c r="M582" s="2">
        <v>387.8</v>
      </c>
      <c r="N582" s="2">
        <v>259.72000000000003</v>
      </c>
      <c r="O582" s="2">
        <v>78.08</v>
      </c>
      <c r="P582" s="2">
        <v>33.03</v>
      </c>
    </row>
    <row r="583" spans="1:16" x14ac:dyDescent="0.25">
      <c r="A583" t="s">
        <v>15</v>
      </c>
      <c r="B583" t="s">
        <v>653</v>
      </c>
      <c r="C583" t="s">
        <v>252</v>
      </c>
      <c r="D583" t="s">
        <v>844</v>
      </c>
      <c r="E583" t="s">
        <v>47</v>
      </c>
      <c r="F583" t="s">
        <v>845</v>
      </c>
      <c r="G583" s="1">
        <f>45733</f>
        <v>45733</v>
      </c>
      <c r="H583" t="s">
        <v>2422</v>
      </c>
      <c r="I583" s="2">
        <v>2745.76</v>
      </c>
      <c r="J583" s="2">
        <v>1940.2</v>
      </c>
      <c r="K583" s="2">
        <v>805.56</v>
      </c>
      <c r="L583" s="2">
        <v>29.34</v>
      </c>
      <c r="M583" s="2">
        <v>2745.76</v>
      </c>
      <c r="N583" s="2">
        <v>1940.2</v>
      </c>
      <c r="O583" s="2">
        <v>752.56</v>
      </c>
      <c r="P583" s="2">
        <v>29.34</v>
      </c>
    </row>
    <row r="584" spans="1:16" x14ac:dyDescent="0.25">
      <c r="A584" t="s">
        <v>15</v>
      </c>
      <c r="B584" t="s">
        <v>653</v>
      </c>
      <c r="C584" t="s">
        <v>252</v>
      </c>
      <c r="D584" t="s">
        <v>846</v>
      </c>
      <c r="E584" t="s">
        <v>47</v>
      </c>
      <c r="F584" t="s">
        <v>565</v>
      </c>
      <c r="G584" s="1">
        <f>45735</f>
        <v>45735</v>
      </c>
      <c r="H584" t="s">
        <v>2422</v>
      </c>
      <c r="I584" s="2">
        <v>309.10000000000002</v>
      </c>
      <c r="J584" s="2">
        <v>215.7</v>
      </c>
      <c r="K584" s="2">
        <v>93.4</v>
      </c>
      <c r="L584" s="2">
        <v>30.22</v>
      </c>
      <c r="M584" s="2">
        <v>309.10000000000002</v>
      </c>
      <c r="N584" s="2">
        <v>215.7</v>
      </c>
      <c r="O584" s="2">
        <v>84.4</v>
      </c>
      <c r="P584" s="2">
        <v>30.22</v>
      </c>
    </row>
    <row r="585" spans="1:16" x14ac:dyDescent="0.25">
      <c r="A585" t="s">
        <v>15</v>
      </c>
      <c r="B585" t="s">
        <v>653</v>
      </c>
      <c r="C585" t="s">
        <v>252</v>
      </c>
      <c r="D585" t="s">
        <v>847</v>
      </c>
      <c r="E585" t="s">
        <v>19</v>
      </c>
      <c r="F585" t="s">
        <v>267</v>
      </c>
      <c r="G585" s="1">
        <f>45736</f>
        <v>45736</v>
      </c>
      <c r="H585" t="s">
        <v>2422</v>
      </c>
      <c r="I585" s="2">
        <v>657.8</v>
      </c>
      <c r="J585" s="2">
        <v>440.04</v>
      </c>
      <c r="K585" s="2">
        <v>217.76</v>
      </c>
      <c r="L585" s="2">
        <v>33.1</v>
      </c>
      <c r="M585" s="2">
        <v>657.8</v>
      </c>
      <c r="N585" s="2">
        <v>440.04</v>
      </c>
      <c r="O585" s="2">
        <v>185.76</v>
      </c>
      <c r="P585" s="2">
        <v>33.1</v>
      </c>
    </row>
    <row r="586" spans="1:16" x14ac:dyDescent="0.25">
      <c r="A586" t="s">
        <v>15</v>
      </c>
      <c r="B586" t="s">
        <v>653</v>
      </c>
      <c r="C586" t="s">
        <v>252</v>
      </c>
      <c r="D586" t="s">
        <v>848</v>
      </c>
      <c r="E586" t="s">
        <v>47</v>
      </c>
      <c r="F586" t="s">
        <v>281</v>
      </c>
      <c r="G586" s="1">
        <f>45740</f>
        <v>45740</v>
      </c>
      <c r="H586" t="s">
        <v>2422</v>
      </c>
      <c r="I586" s="2">
        <v>3489.9</v>
      </c>
      <c r="J586" s="2">
        <v>2469.64</v>
      </c>
      <c r="K586" s="2">
        <v>1020.26</v>
      </c>
      <c r="L586" s="2">
        <v>29.23</v>
      </c>
      <c r="M586" s="2">
        <v>3489.9</v>
      </c>
      <c r="N586" s="2">
        <v>2469.64</v>
      </c>
      <c r="O586" s="2">
        <v>960.02</v>
      </c>
      <c r="P586" s="2">
        <v>29.23</v>
      </c>
    </row>
    <row r="587" spans="1:16" x14ac:dyDescent="0.25">
      <c r="A587" t="s">
        <v>15</v>
      </c>
      <c r="B587" t="s">
        <v>653</v>
      </c>
      <c r="C587" t="s">
        <v>252</v>
      </c>
      <c r="D587" t="s">
        <v>849</v>
      </c>
      <c r="E587" t="s">
        <v>19</v>
      </c>
      <c r="F587" t="s">
        <v>850</v>
      </c>
      <c r="G587" s="1">
        <f>45740</f>
        <v>45740</v>
      </c>
      <c r="H587" t="s">
        <v>2422</v>
      </c>
      <c r="I587" s="2">
        <v>218.5</v>
      </c>
      <c r="J587" s="2">
        <v>146.47</v>
      </c>
      <c r="K587" s="2">
        <v>72.03</v>
      </c>
      <c r="L587" s="2">
        <v>32.97</v>
      </c>
      <c r="M587" s="2">
        <v>218.5</v>
      </c>
      <c r="N587" s="2">
        <v>146.47</v>
      </c>
      <c r="O587" s="2">
        <v>63.03</v>
      </c>
      <c r="P587" s="2">
        <v>32.97</v>
      </c>
    </row>
    <row r="588" spans="1:16" x14ac:dyDescent="0.25">
      <c r="A588" t="s">
        <v>15</v>
      </c>
      <c r="B588" t="s">
        <v>653</v>
      </c>
      <c r="C588" t="s">
        <v>252</v>
      </c>
      <c r="D588" t="s">
        <v>851</v>
      </c>
      <c r="E588" t="s">
        <v>47</v>
      </c>
      <c r="F588" t="s">
        <v>850</v>
      </c>
      <c r="G588" s="1">
        <f>45740</f>
        <v>45740</v>
      </c>
      <c r="H588" t="s">
        <v>2422</v>
      </c>
      <c r="I588" s="2">
        <v>1248.9000000000001</v>
      </c>
      <c r="J588" s="2">
        <v>866.98</v>
      </c>
      <c r="K588" s="2">
        <v>381.92</v>
      </c>
      <c r="L588" s="2">
        <v>30.58</v>
      </c>
      <c r="M588" s="2">
        <v>1248.9000000000001</v>
      </c>
      <c r="N588" s="2">
        <v>867.39</v>
      </c>
      <c r="O588" s="2">
        <v>372.51</v>
      </c>
      <c r="P588" s="2">
        <v>30.55</v>
      </c>
    </row>
    <row r="589" spans="1:16" x14ac:dyDescent="0.25">
      <c r="A589" t="s">
        <v>15</v>
      </c>
      <c r="B589" t="s">
        <v>653</v>
      </c>
      <c r="C589" t="s">
        <v>252</v>
      </c>
      <c r="D589" t="s">
        <v>852</v>
      </c>
      <c r="E589" t="s">
        <v>47</v>
      </c>
      <c r="F589" t="s">
        <v>288</v>
      </c>
      <c r="G589" s="1">
        <f>45740</f>
        <v>45740</v>
      </c>
      <c r="H589" t="s">
        <v>2422</v>
      </c>
      <c r="I589" s="2">
        <v>434.2</v>
      </c>
      <c r="J589" s="2">
        <v>285.56</v>
      </c>
      <c r="K589" s="2">
        <v>148.63999999999999</v>
      </c>
      <c r="L589" s="2">
        <v>34.229999999999997</v>
      </c>
      <c r="M589" s="2">
        <v>434.2</v>
      </c>
      <c r="N589" s="2">
        <v>285.56</v>
      </c>
      <c r="O589" s="2">
        <v>110.64</v>
      </c>
      <c r="P589" s="2">
        <v>34.229999999999997</v>
      </c>
    </row>
    <row r="590" spans="1:16" x14ac:dyDescent="0.25">
      <c r="A590" t="s">
        <v>15</v>
      </c>
      <c r="B590" t="s">
        <v>653</v>
      </c>
      <c r="C590" t="s">
        <v>252</v>
      </c>
      <c r="D590" t="s">
        <v>853</v>
      </c>
      <c r="E590" t="s">
        <v>47</v>
      </c>
      <c r="F590" t="s">
        <v>286</v>
      </c>
      <c r="G590" s="1">
        <f>45742</f>
        <v>45742</v>
      </c>
      <c r="H590" t="s">
        <v>2422</v>
      </c>
      <c r="I590" s="2">
        <v>442</v>
      </c>
      <c r="J590" s="2">
        <v>307.14</v>
      </c>
      <c r="K590" s="2">
        <v>134.86000000000001</v>
      </c>
      <c r="L590" s="2">
        <v>30.51</v>
      </c>
      <c r="M590" s="2">
        <v>442</v>
      </c>
      <c r="N590" s="2">
        <v>307.14</v>
      </c>
      <c r="O590" s="2">
        <v>93.86</v>
      </c>
      <c r="P590" s="2">
        <v>30.51</v>
      </c>
    </row>
    <row r="591" spans="1:16" x14ac:dyDescent="0.25">
      <c r="A591" t="s">
        <v>15</v>
      </c>
      <c r="B591" t="s">
        <v>653</v>
      </c>
      <c r="C591" t="s">
        <v>252</v>
      </c>
      <c r="D591" t="s">
        <v>854</v>
      </c>
      <c r="E591" t="s">
        <v>47</v>
      </c>
      <c r="F591" t="s">
        <v>276</v>
      </c>
      <c r="G591" s="1">
        <f>45744</f>
        <v>45744</v>
      </c>
      <c r="H591" t="s">
        <v>2422</v>
      </c>
      <c r="I591" s="2">
        <v>361.3</v>
      </c>
      <c r="J591" s="2">
        <v>245.41</v>
      </c>
      <c r="K591" s="2">
        <v>115.89</v>
      </c>
      <c r="L591" s="2">
        <v>32.08</v>
      </c>
      <c r="M591" s="2">
        <v>361.3</v>
      </c>
      <c r="N591" s="2">
        <v>245.41</v>
      </c>
      <c r="O591" s="2">
        <v>75.89</v>
      </c>
      <c r="P591" s="2">
        <v>32.08</v>
      </c>
    </row>
    <row r="592" spans="1:16" x14ac:dyDescent="0.25">
      <c r="A592" t="s">
        <v>15</v>
      </c>
      <c r="B592" t="s">
        <v>653</v>
      </c>
      <c r="C592" t="s">
        <v>252</v>
      </c>
      <c r="D592" t="s">
        <v>855</v>
      </c>
      <c r="E592" t="s">
        <v>47</v>
      </c>
      <c r="F592" t="s">
        <v>856</v>
      </c>
      <c r="G592" s="1">
        <f>45744</f>
        <v>45744</v>
      </c>
      <c r="H592" t="s">
        <v>2422</v>
      </c>
      <c r="I592" s="2">
        <v>9266.2999999999993</v>
      </c>
      <c r="J592" s="2">
        <v>5946.28</v>
      </c>
      <c r="K592" s="2">
        <v>3320.02</v>
      </c>
      <c r="L592" s="2">
        <v>35.83</v>
      </c>
      <c r="M592" s="2">
        <v>9266.2999999999993</v>
      </c>
      <c r="N592" s="2">
        <v>5946.7</v>
      </c>
      <c r="O592" s="2">
        <v>1355.6</v>
      </c>
      <c r="P592" s="2">
        <v>35.82</v>
      </c>
    </row>
    <row r="593" spans="1:16" x14ac:dyDescent="0.25">
      <c r="A593" t="s">
        <v>15</v>
      </c>
      <c r="B593" t="s">
        <v>653</v>
      </c>
      <c r="C593" t="s">
        <v>252</v>
      </c>
      <c r="D593" t="s">
        <v>857</v>
      </c>
      <c r="E593" t="s">
        <v>47</v>
      </c>
      <c r="F593" t="s">
        <v>295</v>
      </c>
      <c r="G593" s="1">
        <f>45744</f>
        <v>45744</v>
      </c>
      <c r="H593" t="s">
        <v>2422</v>
      </c>
      <c r="I593" s="2">
        <v>4235</v>
      </c>
      <c r="J593" s="2">
        <v>2575.42</v>
      </c>
      <c r="K593" s="2">
        <v>1659.58</v>
      </c>
      <c r="L593" s="2">
        <v>39.19</v>
      </c>
      <c r="M593" s="2">
        <v>4200</v>
      </c>
      <c r="N593" s="2">
        <v>2583.42</v>
      </c>
      <c r="O593" s="2">
        <v>1540.58</v>
      </c>
      <c r="P593" s="2">
        <v>38.49</v>
      </c>
    </row>
    <row r="594" spans="1:16" x14ac:dyDescent="0.25">
      <c r="A594" t="s">
        <v>15</v>
      </c>
      <c r="B594" t="s">
        <v>653</v>
      </c>
      <c r="C594" t="s">
        <v>252</v>
      </c>
      <c r="D594" t="s">
        <v>858</v>
      </c>
      <c r="E594" t="s">
        <v>47</v>
      </c>
      <c r="F594" t="s">
        <v>265</v>
      </c>
      <c r="G594" s="1">
        <f>45721</f>
        <v>45721</v>
      </c>
      <c r="H594" t="s">
        <v>2422</v>
      </c>
      <c r="I594" s="2">
        <v>1438</v>
      </c>
      <c r="J594" s="2">
        <v>973.2</v>
      </c>
      <c r="K594" s="2">
        <v>464.8</v>
      </c>
      <c r="L594" s="2">
        <v>32.32</v>
      </c>
      <c r="M594" s="2">
        <v>1438</v>
      </c>
      <c r="N594" s="2">
        <v>1005.2</v>
      </c>
      <c r="O594" s="2">
        <v>381.8</v>
      </c>
      <c r="P594" s="2">
        <v>30.1</v>
      </c>
    </row>
    <row r="595" spans="1:16" x14ac:dyDescent="0.25">
      <c r="A595" t="s">
        <v>15</v>
      </c>
      <c r="B595" t="s">
        <v>653</v>
      </c>
      <c r="C595" t="s">
        <v>859</v>
      </c>
      <c r="D595" t="s">
        <v>860</v>
      </c>
      <c r="E595" t="s">
        <v>19</v>
      </c>
      <c r="F595" t="s">
        <v>861</v>
      </c>
      <c r="G595" s="1">
        <f>45719</f>
        <v>45719</v>
      </c>
      <c r="H595" t="s">
        <v>51</v>
      </c>
      <c r="I595" s="2">
        <v>298.39999999999998</v>
      </c>
      <c r="J595" s="2">
        <v>195.2</v>
      </c>
      <c r="K595" s="2">
        <v>103.2</v>
      </c>
      <c r="L595" s="2">
        <v>34.58</v>
      </c>
      <c r="M595" s="2">
        <v>298.39999999999998</v>
      </c>
      <c r="N595" s="2">
        <v>195.2</v>
      </c>
      <c r="O595" s="2">
        <v>93.2</v>
      </c>
      <c r="P595" s="2">
        <v>34.58</v>
      </c>
    </row>
    <row r="596" spans="1:16" x14ac:dyDescent="0.25">
      <c r="A596" t="s">
        <v>15</v>
      </c>
      <c r="B596" t="s">
        <v>653</v>
      </c>
      <c r="C596" t="s">
        <v>17</v>
      </c>
      <c r="D596" t="s">
        <v>862</v>
      </c>
      <c r="E596" t="s">
        <v>19</v>
      </c>
      <c r="F596" t="s">
        <v>363</v>
      </c>
      <c r="G596" s="1">
        <f>45719</f>
        <v>45719</v>
      </c>
      <c r="H596" t="s">
        <v>2422</v>
      </c>
      <c r="I596" s="2">
        <v>183.21</v>
      </c>
      <c r="J596" s="2">
        <v>129.9</v>
      </c>
      <c r="K596" s="2">
        <v>53.31</v>
      </c>
      <c r="L596" s="2">
        <v>29.1</v>
      </c>
      <c r="M596" s="2">
        <v>183.21</v>
      </c>
      <c r="N596" s="2">
        <v>129.9</v>
      </c>
      <c r="O596" s="2">
        <v>44.31</v>
      </c>
      <c r="P596" s="2">
        <v>29.1</v>
      </c>
    </row>
    <row r="597" spans="1:16" x14ac:dyDescent="0.25">
      <c r="A597" t="s">
        <v>15</v>
      </c>
      <c r="B597" t="s">
        <v>653</v>
      </c>
      <c r="C597" t="s">
        <v>17</v>
      </c>
      <c r="D597" t="s">
        <v>863</v>
      </c>
      <c r="E597" t="s">
        <v>47</v>
      </c>
      <c r="F597" t="s">
        <v>23</v>
      </c>
      <c r="G597" s="1">
        <f>45719</f>
        <v>45719</v>
      </c>
      <c r="H597" t="s">
        <v>2422</v>
      </c>
      <c r="I597" s="2">
        <v>981.38</v>
      </c>
      <c r="J597" s="2">
        <v>682.04</v>
      </c>
      <c r="K597" s="2">
        <v>299.33999999999997</v>
      </c>
      <c r="L597" s="2">
        <v>30.5</v>
      </c>
      <c r="M597" s="2">
        <v>981.38</v>
      </c>
      <c r="N597" s="2">
        <v>682.04</v>
      </c>
      <c r="O597" s="2">
        <v>199.34</v>
      </c>
      <c r="P597" s="2">
        <v>30.5</v>
      </c>
    </row>
    <row r="598" spans="1:16" x14ac:dyDescent="0.25">
      <c r="A598" t="s">
        <v>15</v>
      </c>
      <c r="B598" t="s">
        <v>653</v>
      </c>
      <c r="C598" t="s">
        <v>17</v>
      </c>
      <c r="D598" t="s">
        <v>864</v>
      </c>
      <c r="E598" t="s">
        <v>47</v>
      </c>
      <c r="F598" t="s">
        <v>320</v>
      </c>
      <c r="G598" s="1">
        <f>45719</f>
        <v>45719</v>
      </c>
      <c r="H598" t="s">
        <v>2422</v>
      </c>
      <c r="I598" s="2">
        <v>1445</v>
      </c>
      <c r="J598" s="2">
        <v>1119.9000000000001</v>
      </c>
      <c r="K598" s="2">
        <v>325.10000000000002</v>
      </c>
      <c r="L598" s="2">
        <v>22.5</v>
      </c>
      <c r="M598" s="2">
        <v>1445</v>
      </c>
      <c r="N598" s="2">
        <v>1089.9000000000001</v>
      </c>
      <c r="O598" s="2">
        <v>298.60000000000002</v>
      </c>
      <c r="P598" s="2">
        <v>24.57</v>
      </c>
    </row>
    <row r="599" spans="1:16" x14ac:dyDescent="0.25">
      <c r="A599" t="s">
        <v>15</v>
      </c>
      <c r="B599" t="s">
        <v>653</v>
      </c>
      <c r="C599" t="s">
        <v>17</v>
      </c>
      <c r="D599" t="s">
        <v>865</v>
      </c>
      <c r="E599" t="s">
        <v>47</v>
      </c>
      <c r="F599" t="s">
        <v>361</v>
      </c>
      <c r="G599" s="1">
        <f>45721</f>
        <v>45721</v>
      </c>
      <c r="H599" t="s">
        <v>2422</v>
      </c>
      <c r="I599" s="2">
        <v>207.4</v>
      </c>
      <c r="J599" s="2">
        <v>152.38</v>
      </c>
      <c r="K599" s="2">
        <v>55.02</v>
      </c>
      <c r="L599" s="2">
        <v>26.53</v>
      </c>
      <c r="M599" s="2">
        <v>207.4</v>
      </c>
      <c r="N599" s="2">
        <v>152.38</v>
      </c>
      <c r="O599" s="2">
        <v>31.02</v>
      </c>
      <c r="P599" s="2">
        <v>26.53</v>
      </c>
    </row>
    <row r="600" spans="1:16" x14ac:dyDescent="0.25">
      <c r="A600" t="s">
        <v>15</v>
      </c>
      <c r="B600" t="s">
        <v>653</v>
      </c>
      <c r="C600" t="s">
        <v>17</v>
      </c>
      <c r="D600" t="s">
        <v>866</v>
      </c>
      <c r="E600" t="s">
        <v>47</v>
      </c>
      <c r="F600" t="s">
        <v>346</v>
      </c>
      <c r="G600" s="1">
        <f>45723</f>
        <v>45723</v>
      </c>
      <c r="H600" t="s">
        <v>2422</v>
      </c>
      <c r="I600" s="2">
        <v>1235.5999999999999</v>
      </c>
      <c r="J600" s="2">
        <v>833.91</v>
      </c>
      <c r="K600" s="2">
        <v>401.69</v>
      </c>
      <c r="L600" s="2">
        <v>32.51</v>
      </c>
      <c r="M600" s="2">
        <v>1235.5999999999999</v>
      </c>
      <c r="N600" s="2">
        <v>833.91</v>
      </c>
      <c r="O600" s="2">
        <v>391.69</v>
      </c>
      <c r="P600" s="2">
        <v>32.51</v>
      </c>
    </row>
    <row r="601" spans="1:16" x14ac:dyDescent="0.25">
      <c r="A601" t="s">
        <v>15</v>
      </c>
      <c r="B601" t="s">
        <v>653</v>
      </c>
      <c r="C601" t="s">
        <v>17</v>
      </c>
      <c r="D601" t="s">
        <v>867</v>
      </c>
      <c r="E601" t="s">
        <v>47</v>
      </c>
      <c r="F601" t="s">
        <v>868</v>
      </c>
      <c r="G601" s="1">
        <f>45726</f>
        <v>45726</v>
      </c>
      <c r="H601" t="s">
        <v>2422</v>
      </c>
      <c r="I601" s="2">
        <v>629.4</v>
      </c>
      <c r="J601" s="2">
        <v>434.47</v>
      </c>
      <c r="K601" s="2">
        <v>194.93</v>
      </c>
      <c r="L601" s="2">
        <v>30.97</v>
      </c>
      <c r="M601" s="2">
        <v>629.4</v>
      </c>
      <c r="N601" s="2">
        <v>434.47</v>
      </c>
      <c r="O601" s="2">
        <v>99.93</v>
      </c>
      <c r="P601" s="2">
        <v>30.97</v>
      </c>
    </row>
    <row r="602" spans="1:16" x14ac:dyDescent="0.25">
      <c r="A602" t="s">
        <v>15</v>
      </c>
      <c r="B602" t="s">
        <v>653</v>
      </c>
      <c r="C602" t="s">
        <v>17</v>
      </c>
      <c r="D602" t="s">
        <v>869</v>
      </c>
      <c r="E602" t="s">
        <v>47</v>
      </c>
      <c r="F602" t="s">
        <v>322</v>
      </c>
      <c r="G602" s="1">
        <f>45727</f>
        <v>45727</v>
      </c>
      <c r="H602" t="s">
        <v>2422</v>
      </c>
      <c r="I602" s="2">
        <v>9248.7000000000007</v>
      </c>
      <c r="J602" s="2">
        <v>5968.34</v>
      </c>
      <c r="K602" s="2">
        <v>3280.36</v>
      </c>
      <c r="L602" s="2">
        <v>35.47</v>
      </c>
      <c r="M602" s="2">
        <v>9248.7000000000007</v>
      </c>
      <c r="N602" s="2">
        <v>5968.34</v>
      </c>
      <c r="O602" s="2">
        <v>2983.4</v>
      </c>
      <c r="P602" s="2">
        <v>35.47</v>
      </c>
    </row>
    <row r="603" spans="1:16" x14ac:dyDescent="0.25">
      <c r="A603" t="s">
        <v>15</v>
      </c>
      <c r="B603" t="s">
        <v>653</v>
      </c>
      <c r="C603" t="s">
        <v>17</v>
      </c>
      <c r="D603" t="s">
        <v>870</v>
      </c>
      <c r="E603" t="s">
        <v>19</v>
      </c>
      <c r="F603" t="s">
        <v>871</v>
      </c>
      <c r="G603" s="1">
        <f>45727</f>
        <v>45727</v>
      </c>
      <c r="H603" t="s">
        <v>2422</v>
      </c>
      <c r="I603" s="2">
        <v>272.88</v>
      </c>
      <c r="J603" s="2">
        <v>179.6</v>
      </c>
      <c r="K603" s="2">
        <v>93.28</v>
      </c>
      <c r="L603" s="2">
        <v>34.18</v>
      </c>
      <c r="M603" s="2">
        <v>272.88</v>
      </c>
      <c r="N603" s="2">
        <v>179.6</v>
      </c>
      <c r="O603" s="2">
        <v>59.28</v>
      </c>
      <c r="P603" s="2">
        <v>34.18</v>
      </c>
    </row>
    <row r="604" spans="1:16" x14ac:dyDescent="0.25">
      <c r="A604" t="s">
        <v>15</v>
      </c>
      <c r="B604" t="s">
        <v>653</v>
      </c>
      <c r="C604" t="s">
        <v>17</v>
      </c>
      <c r="D604" t="s">
        <v>872</v>
      </c>
      <c r="E604" t="s">
        <v>47</v>
      </c>
      <c r="F604" t="s">
        <v>873</v>
      </c>
      <c r="G604" s="1">
        <f>45728</f>
        <v>45728</v>
      </c>
      <c r="H604" t="s">
        <v>2422</v>
      </c>
      <c r="I604" s="2">
        <v>208</v>
      </c>
      <c r="J604" s="2">
        <v>86.3</v>
      </c>
      <c r="K604" s="2">
        <v>121.7</v>
      </c>
      <c r="L604" s="2">
        <v>58.51</v>
      </c>
      <c r="M604" s="2">
        <v>208</v>
      </c>
      <c r="N604" s="2">
        <v>86.28</v>
      </c>
      <c r="O604" s="2">
        <v>96.72</v>
      </c>
      <c r="P604" s="2">
        <v>58.52</v>
      </c>
    </row>
    <row r="605" spans="1:16" x14ac:dyDescent="0.25">
      <c r="A605" t="s">
        <v>15</v>
      </c>
      <c r="B605" t="s">
        <v>653</v>
      </c>
      <c r="C605" t="s">
        <v>17</v>
      </c>
      <c r="D605" t="s">
        <v>874</v>
      </c>
      <c r="E605" t="s">
        <v>19</v>
      </c>
      <c r="F605" t="s">
        <v>873</v>
      </c>
      <c r="G605" s="1">
        <f>45728</f>
        <v>45728</v>
      </c>
      <c r="H605" t="s">
        <v>2422</v>
      </c>
      <c r="I605" s="2">
        <v>1249</v>
      </c>
      <c r="J605" s="2">
        <v>772.6</v>
      </c>
      <c r="K605" s="2">
        <v>476.4</v>
      </c>
      <c r="L605" s="2">
        <v>38.14</v>
      </c>
      <c r="M605" s="2">
        <v>1249</v>
      </c>
      <c r="N605" s="2">
        <v>772.6</v>
      </c>
      <c r="O605" s="2">
        <v>434.4</v>
      </c>
      <c r="P605" s="2">
        <v>38.14</v>
      </c>
    </row>
    <row r="606" spans="1:16" x14ac:dyDescent="0.25">
      <c r="A606" t="s">
        <v>15</v>
      </c>
      <c r="B606" t="s">
        <v>653</v>
      </c>
      <c r="C606" t="s">
        <v>17</v>
      </c>
      <c r="D606" t="s">
        <v>875</v>
      </c>
      <c r="E606" t="s">
        <v>47</v>
      </c>
      <c r="F606" t="s">
        <v>23</v>
      </c>
      <c r="G606" s="1">
        <f>45728</f>
        <v>45728</v>
      </c>
      <c r="H606" t="s">
        <v>2422</v>
      </c>
      <c r="I606" s="2">
        <v>2272.4</v>
      </c>
      <c r="J606" s="2">
        <v>1539.73</v>
      </c>
      <c r="K606" s="2">
        <v>732.67</v>
      </c>
      <c r="L606" s="2">
        <v>32.24</v>
      </c>
      <c r="M606" s="2">
        <v>2272.4</v>
      </c>
      <c r="N606" s="2">
        <v>1539.68</v>
      </c>
      <c r="O606" s="2">
        <v>692.72</v>
      </c>
      <c r="P606" s="2">
        <v>32.24</v>
      </c>
    </row>
    <row r="607" spans="1:16" x14ac:dyDescent="0.25">
      <c r="A607" t="s">
        <v>15</v>
      </c>
      <c r="B607" t="s">
        <v>653</v>
      </c>
      <c r="C607" t="s">
        <v>17</v>
      </c>
      <c r="D607" t="s">
        <v>876</v>
      </c>
      <c r="E607" t="s">
        <v>47</v>
      </c>
      <c r="F607" t="s">
        <v>877</v>
      </c>
      <c r="G607" s="1">
        <f>45729</f>
        <v>45729</v>
      </c>
      <c r="H607" t="s">
        <v>2422</v>
      </c>
      <c r="I607" s="2">
        <v>376.9</v>
      </c>
      <c r="J607" s="2">
        <v>256</v>
      </c>
      <c r="K607" s="2">
        <v>120.9</v>
      </c>
      <c r="L607" s="2">
        <v>32.08</v>
      </c>
      <c r="M607" s="2">
        <v>376.9</v>
      </c>
      <c r="N607" s="2">
        <v>256</v>
      </c>
      <c r="O607" s="2">
        <v>84.9</v>
      </c>
      <c r="P607" s="2">
        <v>32.08</v>
      </c>
    </row>
    <row r="608" spans="1:16" x14ac:dyDescent="0.25">
      <c r="A608" t="s">
        <v>15</v>
      </c>
      <c r="B608" t="s">
        <v>653</v>
      </c>
      <c r="C608" t="s">
        <v>17</v>
      </c>
      <c r="D608" t="s">
        <v>878</v>
      </c>
      <c r="E608" t="s">
        <v>19</v>
      </c>
      <c r="F608" t="s">
        <v>879</v>
      </c>
      <c r="G608" s="1">
        <f>45730</f>
        <v>45730</v>
      </c>
      <c r="H608" t="s">
        <v>2422</v>
      </c>
      <c r="I608" s="2">
        <v>874</v>
      </c>
      <c r="J608" s="2">
        <v>558</v>
      </c>
      <c r="K608" s="2">
        <v>316</v>
      </c>
      <c r="L608" s="2">
        <v>36.159999999999997</v>
      </c>
      <c r="M608" s="2">
        <v>874</v>
      </c>
      <c r="N608" s="2">
        <v>558</v>
      </c>
      <c r="O608" s="2">
        <v>305</v>
      </c>
      <c r="P608" s="2">
        <v>36.159999999999997</v>
      </c>
    </row>
    <row r="609" spans="1:16" x14ac:dyDescent="0.25">
      <c r="A609" t="s">
        <v>15</v>
      </c>
      <c r="B609" t="s">
        <v>653</v>
      </c>
      <c r="C609" t="s">
        <v>17</v>
      </c>
      <c r="D609" t="s">
        <v>880</v>
      </c>
      <c r="E609" t="s">
        <v>19</v>
      </c>
      <c r="F609" t="s">
        <v>363</v>
      </c>
      <c r="G609" s="1">
        <f>45730</f>
        <v>45730</v>
      </c>
      <c r="H609" t="s">
        <v>2422</v>
      </c>
      <c r="I609" s="2">
        <v>186.97</v>
      </c>
      <c r="J609" s="2">
        <v>132.72</v>
      </c>
      <c r="K609" s="2">
        <v>54.25</v>
      </c>
      <c r="L609" s="2">
        <v>29.01</v>
      </c>
      <c r="M609" s="2">
        <v>186.97</v>
      </c>
      <c r="N609" s="2">
        <v>132.72</v>
      </c>
      <c r="O609" s="2">
        <v>45.25</v>
      </c>
      <c r="P609" s="2">
        <v>29.01</v>
      </c>
    </row>
    <row r="610" spans="1:16" x14ac:dyDescent="0.25">
      <c r="A610" t="s">
        <v>15</v>
      </c>
      <c r="B610" t="s">
        <v>653</v>
      </c>
      <c r="C610" t="s">
        <v>17</v>
      </c>
      <c r="D610" t="s">
        <v>881</v>
      </c>
      <c r="E610" t="s">
        <v>47</v>
      </c>
      <c r="F610" t="s">
        <v>320</v>
      </c>
      <c r="G610" s="1">
        <f>45734</f>
        <v>45734</v>
      </c>
      <c r="H610" t="s">
        <v>2422</v>
      </c>
      <c r="I610" s="2">
        <v>1962.4</v>
      </c>
      <c r="J610" s="2">
        <v>1314.58</v>
      </c>
      <c r="K610" s="2">
        <v>647.82000000000005</v>
      </c>
      <c r="L610" s="2">
        <v>33.01</v>
      </c>
      <c r="M610" s="2">
        <v>1962.4</v>
      </c>
      <c r="N610" s="2">
        <v>1314.58</v>
      </c>
      <c r="O610" s="2">
        <v>606.82000000000005</v>
      </c>
      <c r="P610" s="2">
        <v>33.01</v>
      </c>
    </row>
    <row r="611" spans="1:16" x14ac:dyDescent="0.25">
      <c r="A611" t="s">
        <v>15</v>
      </c>
      <c r="B611" t="s">
        <v>653</v>
      </c>
      <c r="C611" t="s">
        <v>17</v>
      </c>
      <c r="D611" t="s">
        <v>882</v>
      </c>
      <c r="E611" t="s">
        <v>19</v>
      </c>
      <c r="F611" t="s">
        <v>324</v>
      </c>
      <c r="G611" s="1">
        <f>45734</f>
        <v>45734</v>
      </c>
      <c r="H611" t="s">
        <v>2422</v>
      </c>
      <c r="I611" s="2">
        <v>258.2</v>
      </c>
      <c r="J611" s="2">
        <v>149.85</v>
      </c>
      <c r="K611" s="2">
        <v>108.35</v>
      </c>
      <c r="L611" s="2">
        <v>41.96</v>
      </c>
      <c r="M611" s="2">
        <v>258.2</v>
      </c>
      <c r="N611" s="2">
        <v>149.85</v>
      </c>
      <c r="O611" s="2">
        <v>94.35</v>
      </c>
      <c r="P611" s="2">
        <v>41.96</v>
      </c>
    </row>
    <row r="612" spans="1:16" x14ac:dyDescent="0.25">
      <c r="A612" t="s">
        <v>15</v>
      </c>
      <c r="B612" t="s">
        <v>653</v>
      </c>
      <c r="C612" t="s">
        <v>17</v>
      </c>
      <c r="D612" t="s">
        <v>883</v>
      </c>
      <c r="E612" t="s">
        <v>47</v>
      </c>
      <c r="F612" t="s">
        <v>613</v>
      </c>
      <c r="G612" s="1">
        <f>45734</f>
        <v>45734</v>
      </c>
      <c r="H612" t="s">
        <v>2422</v>
      </c>
      <c r="I612" s="2">
        <v>415</v>
      </c>
      <c r="J612" s="2">
        <v>287.45</v>
      </c>
      <c r="K612" s="2">
        <v>127.55</v>
      </c>
      <c r="L612" s="2">
        <v>30.73</v>
      </c>
      <c r="M612" s="2">
        <v>415</v>
      </c>
      <c r="N612" s="2">
        <v>287.45</v>
      </c>
      <c r="O612" s="2">
        <v>95.55</v>
      </c>
      <c r="P612" s="2">
        <v>30.73</v>
      </c>
    </row>
    <row r="613" spans="1:16" x14ac:dyDescent="0.25">
      <c r="A613" t="s">
        <v>15</v>
      </c>
      <c r="B613" t="s">
        <v>653</v>
      </c>
      <c r="C613" t="s">
        <v>17</v>
      </c>
      <c r="D613" t="s">
        <v>884</v>
      </c>
      <c r="E613" t="s">
        <v>47</v>
      </c>
      <c r="F613" t="s">
        <v>326</v>
      </c>
      <c r="G613" s="1">
        <f>45734</f>
        <v>45734</v>
      </c>
      <c r="H613" t="s">
        <v>2422</v>
      </c>
      <c r="I613" s="2">
        <v>1665.8</v>
      </c>
      <c r="J613" s="2">
        <v>1156.3800000000001</v>
      </c>
      <c r="K613" s="2">
        <v>509.42</v>
      </c>
      <c r="L613" s="2">
        <v>30.58</v>
      </c>
      <c r="M613" s="2">
        <v>1665.8</v>
      </c>
      <c r="N613" s="2">
        <v>1156.3800000000001</v>
      </c>
      <c r="O613" s="2">
        <v>473.02</v>
      </c>
      <c r="P613" s="2">
        <v>30.58</v>
      </c>
    </row>
    <row r="614" spans="1:16" x14ac:dyDescent="0.25">
      <c r="A614" t="s">
        <v>15</v>
      </c>
      <c r="B614" t="s">
        <v>653</v>
      </c>
      <c r="C614" t="s">
        <v>17</v>
      </c>
      <c r="D614" t="s">
        <v>885</v>
      </c>
      <c r="E614" t="s">
        <v>47</v>
      </c>
      <c r="F614" t="s">
        <v>23</v>
      </c>
      <c r="G614" s="1">
        <f>45735</f>
        <v>45735</v>
      </c>
      <c r="H614" t="s">
        <v>2422</v>
      </c>
      <c r="I614" s="2">
        <v>3920.6</v>
      </c>
      <c r="J614" s="2">
        <v>2728.58</v>
      </c>
      <c r="K614" s="2">
        <v>1192.02</v>
      </c>
      <c r="L614" s="2">
        <v>30.4</v>
      </c>
      <c r="M614" s="2">
        <v>3920.6</v>
      </c>
      <c r="N614" s="2">
        <v>2728.58</v>
      </c>
      <c r="O614" s="2">
        <v>1104.21</v>
      </c>
      <c r="P614" s="2">
        <v>30.4</v>
      </c>
    </row>
    <row r="615" spans="1:16" x14ac:dyDescent="0.25">
      <c r="A615" t="s">
        <v>15</v>
      </c>
      <c r="B615" t="s">
        <v>653</v>
      </c>
      <c r="C615" t="s">
        <v>17</v>
      </c>
      <c r="D615" t="s">
        <v>886</v>
      </c>
      <c r="E615" t="s">
        <v>19</v>
      </c>
      <c r="F615" t="s">
        <v>313</v>
      </c>
      <c r="G615" s="1">
        <f>45735</f>
        <v>45735</v>
      </c>
      <c r="H615" t="s">
        <v>2422</v>
      </c>
      <c r="I615" s="2">
        <v>616.12</v>
      </c>
      <c r="J615" s="2">
        <v>413</v>
      </c>
      <c r="K615" s="2">
        <v>203.12</v>
      </c>
      <c r="L615" s="2">
        <v>32.97</v>
      </c>
      <c r="M615" s="2">
        <v>616.12</v>
      </c>
      <c r="N615" s="2">
        <v>413</v>
      </c>
      <c r="O615" s="2">
        <v>194.12</v>
      </c>
      <c r="P615" s="2">
        <v>32.97</v>
      </c>
    </row>
    <row r="616" spans="1:16" x14ac:dyDescent="0.25">
      <c r="A616" t="s">
        <v>15</v>
      </c>
      <c r="B616" t="s">
        <v>653</v>
      </c>
      <c r="C616" t="s">
        <v>17</v>
      </c>
      <c r="D616" t="s">
        <v>887</v>
      </c>
      <c r="E616" t="s">
        <v>47</v>
      </c>
      <c r="F616" t="s">
        <v>339</v>
      </c>
      <c r="G616" s="1">
        <f>45735</f>
        <v>45735</v>
      </c>
      <c r="H616" t="s">
        <v>70</v>
      </c>
      <c r="I616" s="2">
        <v>0</v>
      </c>
      <c r="J616" s="2">
        <v>0</v>
      </c>
      <c r="K616" s="2">
        <v>0</v>
      </c>
      <c r="L616" s="2">
        <v>0</v>
      </c>
      <c r="M616" s="2">
        <v>212.88</v>
      </c>
      <c r="N616" s="2">
        <v>85.02</v>
      </c>
      <c r="O616" s="2">
        <v>127.86</v>
      </c>
      <c r="P616" s="2">
        <v>60.06</v>
      </c>
    </row>
    <row r="617" spans="1:16" x14ac:dyDescent="0.25">
      <c r="A617" t="s">
        <v>15</v>
      </c>
      <c r="B617" t="s">
        <v>653</v>
      </c>
      <c r="C617" t="s">
        <v>17</v>
      </c>
      <c r="D617" t="s">
        <v>888</v>
      </c>
      <c r="E617" t="s">
        <v>47</v>
      </c>
      <c r="F617" t="s">
        <v>889</v>
      </c>
      <c r="G617" s="1">
        <f>45737</f>
        <v>45737</v>
      </c>
      <c r="H617" t="s">
        <v>2422</v>
      </c>
      <c r="I617" s="2">
        <v>1634.65</v>
      </c>
      <c r="J617" s="2">
        <v>1111.9100000000001</v>
      </c>
      <c r="K617" s="2">
        <v>522.74</v>
      </c>
      <c r="L617" s="2">
        <v>31.98</v>
      </c>
      <c r="M617" s="2">
        <v>1634.65</v>
      </c>
      <c r="N617" s="2">
        <v>1111.9100000000001</v>
      </c>
      <c r="O617" s="2">
        <v>423.74</v>
      </c>
      <c r="P617" s="2">
        <v>31.98</v>
      </c>
    </row>
    <row r="618" spans="1:16" x14ac:dyDescent="0.25">
      <c r="A618" t="s">
        <v>15</v>
      </c>
      <c r="B618" t="s">
        <v>653</v>
      </c>
      <c r="C618" t="s">
        <v>17</v>
      </c>
      <c r="D618" t="s">
        <v>890</v>
      </c>
      <c r="E618" t="s">
        <v>47</v>
      </c>
      <c r="F618" t="s">
        <v>320</v>
      </c>
      <c r="G618" s="1">
        <f>45737</f>
        <v>45737</v>
      </c>
      <c r="H618" t="s">
        <v>2422</v>
      </c>
      <c r="I618" s="2">
        <v>1327</v>
      </c>
      <c r="J618" s="2">
        <v>703.17</v>
      </c>
      <c r="K618" s="2">
        <v>623.83000000000004</v>
      </c>
      <c r="L618" s="2">
        <v>47.01</v>
      </c>
      <c r="M618" s="2">
        <v>1327</v>
      </c>
      <c r="N618" s="2">
        <v>703.17</v>
      </c>
      <c r="O618" s="2">
        <v>590.66</v>
      </c>
      <c r="P618" s="2">
        <v>47.01</v>
      </c>
    </row>
    <row r="619" spans="1:16" x14ac:dyDescent="0.25">
      <c r="A619" t="s">
        <v>15</v>
      </c>
      <c r="B619" t="s">
        <v>653</v>
      </c>
      <c r="C619" t="s">
        <v>17</v>
      </c>
      <c r="D619" t="s">
        <v>891</v>
      </c>
      <c r="E619" t="s">
        <v>47</v>
      </c>
      <c r="F619" t="s">
        <v>359</v>
      </c>
      <c r="G619" s="1">
        <f>45740</f>
        <v>45740</v>
      </c>
      <c r="H619" t="s">
        <v>2422</v>
      </c>
      <c r="I619" s="2">
        <v>267.95999999999998</v>
      </c>
      <c r="J619" s="2">
        <v>165.51</v>
      </c>
      <c r="K619" s="2">
        <v>102.45</v>
      </c>
      <c r="L619" s="2">
        <v>38.229999999999997</v>
      </c>
      <c r="M619" s="2">
        <v>267.95999999999998</v>
      </c>
      <c r="N619" s="2">
        <v>165.51</v>
      </c>
      <c r="O619" s="2">
        <v>87.45</v>
      </c>
      <c r="P619" s="2">
        <v>38.229999999999997</v>
      </c>
    </row>
    <row r="620" spans="1:16" x14ac:dyDescent="0.25">
      <c r="A620" t="s">
        <v>15</v>
      </c>
      <c r="B620" t="s">
        <v>653</v>
      </c>
      <c r="C620" t="s">
        <v>17</v>
      </c>
      <c r="D620" t="s">
        <v>892</v>
      </c>
      <c r="E620" t="s">
        <v>47</v>
      </c>
      <c r="F620" t="s">
        <v>311</v>
      </c>
      <c r="G620" s="1">
        <f>45740</f>
        <v>45740</v>
      </c>
      <c r="H620" t="s">
        <v>2422</v>
      </c>
      <c r="I620" s="2">
        <v>304</v>
      </c>
      <c r="J620" s="2">
        <v>200.75</v>
      </c>
      <c r="K620" s="2">
        <v>103.25</v>
      </c>
      <c r="L620" s="2">
        <v>33.96</v>
      </c>
      <c r="M620" s="2">
        <v>304</v>
      </c>
      <c r="N620" s="2">
        <v>200.75</v>
      </c>
      <c r="O620" s="2">
        <v>69.25</v>
      </c>
      <c r="P620" s="2">
        <v>33.96</v>
      </c>
    </row>
    <row r="621" spans="1:16" x14ac:dyDescent="0.25">
      <c r="A621" t="s">
        <v>15</v>
      </c>
      <c r="B621" t="s">
        <v>653</v>
      </c>
      <c r="C621" t="s">
        <v>17</v>
      </c>
      <c r="D621" t="s">
        <v>893</v>
      </c>
      <c r="E621" t="s">
        <v>47</v>
      </c>
      <c r="F621" t="s">
        <v>313</v>
      </c>
      <c r="G621" s="1">
        <f>45740</f>
        <v>45740</v>
      </c>
      <c r="H621" t="s">
        <v>2422</v>
      </c>
      <c r="I621" s="2">
        <v>1032.08</v>
      </c>
      <c r="J621" s="2">
        <v>583.4</v>
      </c>
      <c r="K621" s="2">
        <v>448.68</v>
      </c>
      <c r="L621" s="2">
        <v>43.47</v>
      </c>
      <c r="M621" s="2">
        <v>1032.08</v>
      </c>
      <c r="N621" s="2">
        <v>583.4</v>
      </c>
      <c r="O621" s="2">
        <v>434.68</v>
      </c>
      <c r="P621" s="2">
        <v>43.47</v>
      </c>
    </row>
    <row r="622" spans="1:16" x14ac:dyDescent="0.25">
      <c r="A622" t="s">
        <v>15</v>
      </c>
      <c r="B622" t="s">
        <v>653</v>
      </c>
      <c r="C622" t="s">
        <v>17</v>
      </c>
      <c r="D622" t="s">
        <v>894</v>
      </c>
      <c r="E622" t="s">
        <v>19</v>
      </c>
      <c r="F622" t="s">
        <v>23</v>
      </c>
      <c r="G622" s="1">
        <f>45741</f>
        <v>45741</v>
      </c>
      <c r="H622" t="s">
        <v>51</v>
      </c>
      <c r="I622" s="2">
        <v>655</v>
      </c>
      <c r="J622" s="2">
        <v>460.49</v>
      </c>
      <c r="K622" s="2">
        <v>194.51</v>
      </c>
      <c r="L622" s="2">
        <v>29.7</v>
      </c>
      <c r="M622" s="2">
        <v>655</v>
      </c>
      <c r="N622" s="2">
        <v>460.49</v>
      </c>
      <c r="O622" s="2">
        <v>176.04</v>
      </c>
      <c r="P622" s="2">
        <v>29.7</v>
      </c>
    </row>
    <row r="623" spans="1:16" x14ac:dyDescent="0.25">
      <c r="A623" t="s">
        <v>15</v>
      </c>
      <c r="B623" t="s">
        <v>653</v>
      </c>
      <c r="C623" t="s">
        <v>17</v>
      </c>
      <c r="D623" t="s">
        <v>895</v>
      </c>
      <c r="E623" t="s">
        <v>47</v>
      </c>
      <c r="F623" t="s">
        <v>896</v>
      </c>
      <c r="G623" s="1">
        <f>45742</f>
        <v>45742</v>
      </c>
      <c r="H623" t="s">
        <v>2422</v>
      </c>
      <c r="I623" s="2">
        <v>703.4</v>
      </c>
      <c r="J623" s="2">
        <v>471.28</v>
      </c>
      <c r="K623" s="2">
        <v>232.12</v>
      </c>
      <c r="L623" s="2">
        <v>33</v>
      </c>
      <c r="M623" s="2">
        <v>703.4</v>
      </c>
      <c r="N623" s="2">
        <v>471.3</v>
      </c>
      <c r="O623" s="2">
        <v>187.1</v>
      </c>
      <c r="P623" s="2">
        <v>33</v>
      </c>
    </row>
    <row r="624" spans="1:16" x14ac:dyDescent="0.25">
      <c r="A624" t="s">
        <v>15</v>
      </c>
      <c r="B624" t="s">
        <v>653</v>
      </c>
      <c r="C624" t="s">
        <v>17</v>
      </c>
      <c r="D624" t="s">
        <v>897</v>
      </c>
      <c r="E624" t="s">
        <v>47</v>
      </c>
      <c r="F624" t="s">
        <v>342</v>
      </c>
      <c r="G624" s="1">
        <f>45742</f>
        <v>45742</v>
      </c>
      <c r="H624" t="s">
        <v>2422</v>
      </c>
      <c r="I624" s="2">
        <v>2413.1999999999998</v>
      </c>
      <c r="J624" s="2">
        <v>1426.55</v>
      </c>
      <c r="K624" s="2">
        <v>986.65</v>
      </c>
      <c r="L624" s="2">
        <v>40.89</v>
      </c>
      <c r="M624" s="2">
        <v>2413.1999999999998</v>
      </c>
      <c r="N624" s="2">
        <v>1430.67</v>
      </c>
      <c r="O624" s="2">
        <v>940.86</v>
      </c>
      <c r="P624" s="2">
        <v>40.71</v>
      </c>
    </row>
    <row r="625" spans="1:16" x14ac:dyDescent="0.25">
      <c r="A625" t="s">
        <v>15</v>
      </c>
      <c r="B625" t="s">
        <v>653</v>
      </c>
      <c r="C625" t="s">
        <v>17</v>
      </c>
      <c r="D625" t="s">
        <v>898</v>
      </c>
      <c r="E625" t="s">
        <v>47</v>
      </c>
      <c r="F625" t="s">
        <v>339</v>
      </c>
      <c r="G625" s="1">
        <f>45742</f>
        <v>45742</v>
      </c>
      <c r="H625" t="s">
        <v>2422</v>
      </c>
      <c r="I625" s="2">
        <v>346</v>
      </c>
      <c r="J625" s="2">
        <v>189</v>
      </c>
      <c r="K625" s="2">
        <v>157</v>
      </c>
      <c r="L625" s="2">
        <v>45.38</v>
      </c>
      <c r="M625" s="2">
        <v>346</v>
      </c>
      <c r="N625" s="2">
        <v>189</v>
      </c>
      <c r="O625" s="2">
        <v>110.5</v>
      </c>
      <c r="P625" s="2">
        <v>45.38</v>
      </c>
    </row>
    <row r="626" spans="1:16" x14ac:dyDescent="0.25">
      <c r="A626" t="s">
        <v>15</v>
      </c>
      <c r="B626" t="s">
        <v>653</v>
      </c>
      <c r="C626" t="s">
        <v>17</v>
      </c>
      <c r="D626" t="s">
        <v>899</v>
      </c>
      <c r="E626" t="s">
        <v>19</v>
      </c>
      <c r="F626" t="s">
        <v>372</v>
      </c>
      <c r="G626" s="1">
        <f>45743</f>
        <v>45743</v>
      </c>
      <c r="H626" t="s">
        <v>51</v>
      </c>
      <c r="I626" s="2">
        <v>184.39</v>
      </c>
      <c r="J626" s="2">
        <v>90.67</v>
      </c>
      <c r="K626" s="2">
        <v>93.72</v>
      </c>
      <c r="L626" s="2">
        <v>50.83</v>
      </c>
      <c r="M626" s="2">
        <v>184.39</v>
      </c>
      <c r="N626" s="2">
        <v>90.67</v>
      </c>
      <c r="O626" s="2">
        <v>68.72</v>
      </c>
      <c r="P626" s="2">
        <v>50.83</v>
      </c>
    </row>
    <row r="627" spans="1:16" x14ac:dyDescent="0.25">
      <c r="A627" t="s">
        <v>15</v>
      </c>
      <c r="B627" t="s">
        <v>653</v>
      </c>
      <c r="C627" t="s">
        <v>17</v>
      </c>
      <c r="D627" t="s">
        <v>900</v>
      </c>
      <c r="E627" t="s">
        <v>47</v>
      </c>
      <c r="F627" t="s">
        <v>901</v>
      </c>
      <c r="G627" s="1">
        <f>45744</f>
        <v>45744</v>
      </c>
      <c r="H627" t="s">
        <v>2422</v>
      </c>
      <c r="I627" s="2">
        <v>608.79999999999995</v>
      </c>
      <c r="J627" s="2">
        <v>419.56</v>
      </c>
      <c r="K627" s="2">
        <v>189.24</v>
      </c>
      <c r="L627" s="2">
        <v>31.08</v>
      </c>
      <c r="M627" s="2">
        <v>608.79999999999995</v>
      </c>
      <c r="N627" s="2">
        <v>419.74</v>
      </c>
      <c r="O627" s="2">
        <v>171.83</v>
      </c>
      <c r="P627" s="2">
        <v>31.05</v>
      </c>
    </row>
    <row r="628" spans="1:16" x14ac:dyDescent="0.25">
      <c r="A628" t="s">
        <v>15</v>
      </c>
      <c r="B628" t="s">
        <v>653</v>
      </c>
      <c r="C628" t="s">
        <v>17</v>
      </c>
      <c r="D628" t="s">
        <v>902</v>
      </c>
      <c r="E628" t="s">
        <v>47</v>
      </c>
      <c r="F628" t="s">
        <v>339</v>
      </c>
      <c r="G628" s="1">
        <f>45744</f>
        <v>45744</v>
      </c>
      <c r="H628" t="s">
        <v>70</v>
      </c>
      <c r="I628" s="2">
        <v>0</v>
      </c>
      <c r="J628" s="2">
        <v>0</v>
      </c>
      <c r="K628" s="2">
        <v>0</v>
      </c>
      <c r="L628" s="2">
        <v>0</v>
      </c>
      <c r="M628" s="2">
        <v>74.08</v>
      </c>
      <c r="N628" s="2">
        <v>29.77</v>
      </c>
      <c r="O628" s="2">
        <v>44.31</v>
      </c>
      <c r="P628" s="2">
        <v>59.81</v>
      </c>
    </row>
    <row r="629" spans="1:16" x14ac:dyDescent="0.25">
      <c r="A629" t="s">
        <v>15</v>
      </c>
      <c r="B629" t="s">
        <v>653</v>
      </c>
      <c r="C629" t="s">
        <v>17</v>
      </c>
      <c r="D629" t="s">
        <v>903</v>
      </c>
      <c r="E629" t="s">
        <v>47</v>
      </c>
      <c r="F629" t="s">
        <v>904</v>
      </c>
      <c r="G629" s="1">
        <f>45744</f>
        <v>45744</v>
      </c>
      <c r="H629" t="s">
        <v>2422</v>
      </c>
      <c r="I629" s="2">
        <v>294.79000000000002</v>
      </c>
      <c r="J629" s="2">
        <v>194.5</v>
      </c>
      <c r="K629" s="2">
        <v>100.29</v>
      </c>
      <c r="L629" s="2">
        <v>34.020000000000003</v>
      </c>
      <c r="M629" s="2">
        <v>294.79000000000002</v>
      </c>
      <c r="N629" s="2">
        <v>194.5</v>
      </c>
      <c r="O629" s="2">
        <v>91.29</v>
      </c>
      <c r="P629" s="2">
        <v>34.020000000000003</v>
      </c>
    </row>
    <row r="630" spans="1:16" x14ac:dyDescent="0.25">
      <c r="A630" t="s">
        <v>15</v>
      </c>
      <c r="B630" t="s">
        <v>653</v>
      </c>
      <c r="C630" t="s">
        <v>17</v>
      </c>
      <c r="D630" t="s">
        <v>905</v>
      </c>
      <c r="E630" t="s">
        <v>47</v>
      </c>
      <c r="F630" t="s">
        <v>348</v>
      </c>
      <c r="G630" s="1">
        <f>45747</f>
        <v>45747</v>
      </c>
      <c r="H630" t="s">
        <v>2422</v>
      </c>
      <c r="I630" s="2">
        <v>894.9</v>
      </c>
      <c r="J630" s="2">
        <v>597.99</v>
      </c>
      <c r="K630" s="2">
        <v>296.91000000000003</v>
      </c>
      <c r="L630" s="2">
        <v>33.18</v>
      </c>
      <c r="M630" s="2">
        <v>894.9</v>
      </c>
      <c r="N630" s="2">
        <v>597.99</v>
      </c>
      <c r="O630" s="2">
        <v>282.91000000000003</v>
      </c>
      <c r="P630" s="2">
        <v>33.18</v>
      </c>
    </row>
    <row r="631" spans="1:16" x14ac:dyDescent="0.25">
      <c r="A631" t="s">
        <v>15</v>
      </c>
      <c r="B631" t="s">
        <v>653</v>
      </c>
      <c r="C631" t="s">
        <v>17</v>
      </c>
      <c r="D631" t="s">
        <v>906</v>
      </c>
      <c r="E631" t="s">
        <v>19</v>
      </c>
      <c r="F631" t="s">
        <v>316</v>
      </c>
      <c r="G631" s="1">
        <f>45719</f>
        <v>45719</v>
      </c>
      <c r="H631" t="s">
        <v>2422</v>
      </c>
      <c r="I631" s="2">
        <v>2566.6999999999998</v>
      </c>
      <c r="J631" s="2">
        <v>1595.2</v>
      </c>
      <c r="K631" s="2">
        <v>971.5</v>
      </c>
      <c r="L631" s="2">
        <v>37.85</v>
      </c>
      <c r="M631" s="2">
        <v>2566.6999999999998</v>
      </c>
      <c r="N631" s="2">
        <v>1740.2</v>
      </c>
      <c r="O631" s="2">
        <v>706.5</v>
      </c>
      <c r="P631" s="2">
        <v>32.200000000000003</v>
      </c>
    </row>
    <row r="632" spans="1:16" x14ac:dyDescent="0.25">
      <c r="A632" t="s">
        <v>15</v>
      </c>
      <c r="B632" t="s">
        <v>907</v>
      </c>
      <c r="C632" t="s">
        <v>17</v>
      </c>
      <c r="D632" t="s">
        <v>908</v>
      </c>
      <c r="E632" t="s">
        <v>47</v>
      </c>
      <c r="F632" t="s">
        <v>20</v>
      </c>
      <c r="G632" s="1">
        <f>45751</f>
        <v>45751</v>
      </c>
      <c r="H632" t="s">
        <v>2422</v>
      </c>
      <c r="I632" s="2">
        <v>432.3</v>
      </c>
      <c r="J632" s="2">
        <v>263</v>
      </c>
      <c r="K632" s="2">
        <v>169.3</v>
      </c>
      <c r="L632" s="2">
        <v>39.159999999999997</v>
      </c>
      <c r="M632" s="2">
        <v>432.3</v>
      </c>
      <c r="N632" s="2">
        <v>263</v>
      </c>
      <c r="O632" s="2">
        <v>135.30000000000001</v>
      </c>
      <c r="P632" s="2">
        <v>39.159999999999997</v>
      </c>
    </row>
    <row r="633" spans="1:16" x14ac:dyDescent="0.25">
      <c r="A633" t="s">
        <v>15</v>
      </c>
      <c r="B633" t="s">
        <v>907</v>
      </c>
      <c r="C633" t="s">
        <v>17</v>
      </c>
      <c r="D633" t="s">
        <v>909</v>
      </c>
      <c r="E633" t="s">
        <v>47</v>
      </c>
      <c r="F633" t="s">
        <v>219</v>
      </c>
      <c r="G633" s="1">
        <f>45751</f>
        <v>45751</v>
      </c>
      <c r="H633" t="s">
        <v>2422</v>
      </c>
      <c r="I633" s="2">
        <v>429</v>
      </c>
      <c r="J633" s="2">
        <v>314.12</v>
      </c>
      <c r="K633" s="2">
        <v>114.88</v>
      </c>
      <c r="L633" s="2">
        <v>26.78</v>
      </c>
      <c r="M633" s="2">
        <v>429</v>
      </c>
      <c r="N633" s="2">
        <v>314.31</v>
      </c>
      <c r="O633" s="2">
        <v>99.53</v>
      </c>
      <c r="P633" s="2">
        <v>26.73</v>
      </c>
    </row>
    <row r="634" spans="1:16" x14ac:dyDescent="0.25">
      <c r="A634" t="s">
        <v>15</v>
      </c>
      <c r="B634" t="s">
        <v>907</v>
      </c>
      <c r="C634" t="s">
        <v>17</v>
      </c>
      <c r="D634" t="s">
        <v>910</v>
      </c>
      <c r="E634" t="s">
        <v>47</v>
      </c>
      <c r="F634" t="s">
        <v>33</v>
      </c>
      <c r="G634" s="1">
        <f>45754</f>
        <v>45754</v>
      </c>
      <c r="H634" t="s">
        <v>2422</v>
      </c>
      <c r="I634" s="2">
        <v>1016.3</v>
      </c>
      <c r="J634" s="2">
        <v>740</v>
      </c>
      <c r="K634" s="2">
        <v>276.3</v>
      </c>
      <c r="L634" s="2">
        <v>27.19</v>
      </c>
      <c r="M634" s="2">
        <v>1016.3</v>
      </c>
      <c r="N634" s="2">
        <v>740</v>
      </c>
      <c r="O634" s="2">
        <v>232.3</v>
      </c>
      <c r="P634" s="2">
        <v>27.19</v>
      </c>
    </row>
    <row r="635" spans="1:16" x14ac:dyDescent="0.25">
      <c r="A635" t="s">
        <v>15</v>
      </c>
      <c r="B635" t="s">
        <v>907</v>
      </c>
      <c r="C635" t="s">
        <v>17</v>
      </c>
      <c r="D635" t="s">
        <v>911</v>
      </c>
      <c r="E635" t="s">
        <v>47</v>
      </c>
      <c r="F635" t="s">
        <v>35</v>
      </c>
      <c r="G635" s="1">
        <f>45756</f>
        <v>45756</v>
      </c>
      <c r="H635" t="s">
        <v>2422</v>
      </c>
      <c r="I635" s="2">
        <v>199.54</v>
      </c>
      <c r="J635" s="2">
        <v>97.77</v>
      </c>
      <c r="K635" s="2">
        <v>101.77</v>
      </c>
      <c r="L635" s="2">
        <v>51</v>
      </c>
      <c r="M635" s="2">
        <v>199.54</v>
      </c>
      <c r="N635" s="2">
        <v>97.77</v>
      </c>
      <c r="O635" s="2">
        <v>92.77</v>
      </c>
      <c r="P635" s="2">
        <v>51</v>
      </c>
    </row>
    <row r="636" spans="1:16" x14ac:dyDescent="0.25">
      <c r="A636" t="s">
        <v>15</v>
      </c>
      <c r="B636" t="s">
        <v>907</v>
      </c>
      <c r="C636" t="s">
        <v>17</v>
      </c>
      <c r="D636" t="s">
        <v>912</v>
      </c>
      <c r="E636" t="s">
        <v>47</v>
      </c>
      <c r="F636" t="s">
        <v>26</v>
      </c>
      <c r="G636" s="1">
        <f>45757</f>
        <v>45757</v>
      </c>
      <c r="H636" t="s">
        <v>2422</v>
      </c>
      <c r="I636" s="2">
        <v>488</v>
      </c>
      <c r="J636" s="2">
        <v>282</v>
      </c>
      <c r="K636" s="2">
        <v>206</v>
      </c>
      <c r="L636" s="2">
        <v>42.21</v>
      </c>
      <c r="M636" s="2">
        <v>488</v>
      </c>
      <c r="N636" s="2">
        <v>282</v>
      </c>
      <c r="O636" s="2">
        <v>197</v>
      </c>
      <c r="P636" s="2">
        <v>42.21</v>
      </c>
    </row>
    <row r="637" spans="1:16" x14ac:dyDescent="0.25">
      <c r="A637" t="s">
        <v>15</v>
      </c>
      <c r="B637" t="s">
        <v>907</v>
      </c>
      <c r="C637" t="s">
        <v>17</v>
      </c>
      <c r="D637" t="s">
        <v>913</v>
      </c>
      <c r="E637" t="s">
        <v>47</v>
      </c>
      <c r="F637" t="s">
        <v>20</v>
      </c>
      <c r="G637" s="1">
        <f>45758</f>
        <v>45758</v>
      </c>
      <c r="H637" t="s">
        <v>2422</v>
      </c>
      <c r="I637" s="2">
        <v>1130.1400000000001</v>
      </c>
      <c r="J637" s="2">
        <v>768.5</v>
      </c>
      <c r="K637" s="2">
        <v>361.64</v>
      </c>
      <c r="L637" s="2">
        <v>32</v>
      </c>
      <c r="M637" s="2">
        <v>1130.1400000000001</v>
      </c>
      <c r="N637" s="2">
        <v>768.1</v>
      </c>
      <c r="O637" s="2">
        <v>353.04</v>
      </c>
      <c r="P637" s="2">
        <v>32.03</v>
      </c>
    </row>
    <row r="638" spans="1:16" x14ac:dyDescent="0.25">
      <c r="A638" t="s">
        <v>15</v>
      </c>
      <c r="B638" t="s">
        <v>907</v>
      </c>
      <c r="C638" t="s">
        <v>17</v>
      </c>
      <c r="D638" t="s">
        <v>914</v>
      </c>
      <c r="E638" t="s">
        <v>47</v>
      </c>
      <c r="F638" t="s">
        <v>384</v>
      </c>
      <c r="G638" s="1">
        <f>45763</f>
        <v>45763</v>
      </c>
      <c r="H638" t="s">
        <v>2422</v>
      </c>
      <c r="I638" s="2">
        <v>992.7</v>
      </c>
      <c r="J638" s="2">
        <v>625.73</v>
      </c>
      <c r="K638" s="2">
        <v>366.97</v>
      </c>
      <c r="L638" s="2">
        <v>36.97</v>
      </c>
      <c r="M638" s="2">
        <v>992.7</v>
      </c>
      <c r="N638" s="2">
        <v>625.73</v>
      </c>
      <c r="O638" s="2">
        <v>356.61</v>
      </c>
      <c r="P638" s="2">
        <v>36.97</v>
      </c>
    </row>
    <row r="639" spans="1:16" x14ac:dyDescent="0.25">
      <c r="A639" t="s">
        <v>15</v>
      </c>
      <c r="B639" t="s">
        <v>907</v>
      </c>
      <c r="C639" t="s">
        <v>17</v>
      </c>
      <c r="D639" t="s">
        <v>915</v>
      </c>
      <c r="E639" t="s">
        <v>47</v>
      </c>
      <c r="F639" t="s">
        <v>26</v>
      </c>
      <c r="G639" s="1">
        <f>45769</f>
        <v>45769</v>
      </c>
      <c r="H639" t="s">
        <v>2422</v>
      </c>
      <c r="I639" s="2">
        <v>508</v>
      </c>
      <c r="J639" s="2">
        <v>287</v>
      </c>
      <c r="K639" s="2">
        <v>221</v>
      </c>
      <c r="L639" s="2">
        <v>43.5</v>
      </c>
      <c r="M639" s="2">
        <v>508</v>
      </c>
      <c r="N639" s="2">
        <v>287</v>
      </c>
      <c r="O639" s="2">
        <v>212</v>
      </c>
      <c r="P639" s="2">
        <v>43.5</v>
      </c>
    </row>
    <row r="640" spans="1:16" x14ac:dyDescent="0.25">
      <c r="A640" t="s">
        <v>15</v>
      </c>
      <c r="B640" t="s">
        <v>907</v>
      </c>
      <c r="C640" t="s">
        <v>17</v>
      </c>
      <c r="D640" t="s">
        <v>916</v>
      </c>
      <c r="E640" t="s">
        <v>47</v>
      </c>
      <c r="F640" t="s">
        <v>33</v>
      </c>
      <c r="G640" s="1">
        <f>45775</f>
        <v>45775</v>
      </c>
      <c r="H640" t="s">
        <v>2422</v>
      </c>
      <c r="I640" s="2">
        <v>2267.4</v>
      </c>
      <c r="J640" s="2">
        <v>1574.2</v>
      </c>
      <c r="K640" s="2">
        <v>693.2</v>
      </c>
      <c r="L640" s="2">
        <v>30.57</v>
      </c>
      <c r="M640" s="2">
        <v>2267.4</v>
      </c>
      <c r="N640" s="2">
        <v>1574.2</v>
      </c>
      <c r="O640" s="2">
        <v>638.20000000000005</v>
      </c>
      <c r="P640" s="2">
        <v>30.57</v>
      </c>
    </row>
    <row r="641" spans="1:16" x14ac:dyDescent="0.25">
      <c r="A641" t="s">
        <v>15</v>
      </c>
      <c r="B641" t="s">
        <v>907</v>
      </c>
      <c r="C641" t="s">
        <v>42</v>
      </c>
      <c r="D641" t="s">
        <v>917</v>
      </c>
      <c r="E641" t="s">
        <v>47</v>
      </c>
      <c r="F641" t="s">
        <v>44</v>
      </c>
      <c r="G641" s="1">
        <f>45755</f>
        <v>45755</v>
      </c>
      <c r="H641" t="s">
        <v>2422</v>
      </c>
      <c r="I641" s="2">
        <v>1567.5</v>
      </c>
      <c r="J641" s="2">
        <v>871.24</v>
      </c>
      <c r="K641" s="2">
        <v>696.26</v>
      </c>
      <c r="L641" s="2">
        <v>44.42</v>
      </c>
      <c r="M641" s="2">
        <v>1567.5</v>
      </c>
      <c r="N641" s="2">
        <v>330</v>
      </c>
      <c r="O641" s="2">
        <v>1227.5</v>
      </c>
      <c r="P641" s="2">
        <v>78.95</v>
      </c>
    </row>
    <row r="642" spans="1:16" x14ac:dyDescent="0.25">
      <c r="A642" t="s">
        <v>15</v>
      </c>
      <c r="B642" t="s">
        <v>907</v>
      </c>
      <c r="C642" t="s">
        <v>42</v>
      </c>
      <c r="D642" t="s">
        <v>918</v>
      </c>
      <c r="E642" t="s">
        <v>47</v>
      </c>
      <c r="F642" t="s">
        <v>44</v>
      </c>
      <c r="G642" s="1">
        <f>45755</f>
        <v>45755</v>
      </c>
      <c r="H642" t="s">
        <v>2422</v>
      </c>
      <c r="I642" s="2">
        <v>1302</v>
      </c>
      <c r="J642" s="2">
        <v>829.09</v>
      </c>
      <c r="K642" s="2">
        <v>472.91</v>
      </c>
      <c r="L642" s="2">
        <v>36.32</v>
      </c>
      <c r="M642" s="2">
        <v>1302</v>
      </c>
      <c r="N642" s="2">
        <v>138</v>
      </c>
      <c r="O642" s="2">
        <v>1154</v>
      </c>
      <c r="P642" s="2">
        <v>89.4</v>
      </c>
    </row>
    <row r="643" spans="1:16" x14ac:dyDescent="0.25">
      <c r="A643" t="s">
        <v>15</v>
      </c>
      <c r="B643" t="s">
        <v>907</v>
      </c>
      <c r="C643" t="s">
        <v>42</v>
      </c>
      <c r="D643" t="s">
        <v>919</v>
      </c>
      <c r="E643" t="s">
        <v>47</v>
      </c>
      <c r="F643" t="s">
        <v>44</v>
      </c>
      <c r="G643" s="1">
        <f>45755</f>
        <v>45755</v>
      </c>
      <c r="H643" t="s">
        <v>2422</v>
      </c>
      <c r="I643" s="2">
        <v>3502</v>
      </c>
      <c r="J643" s="2">
        <v>1922.47</v>
      </c>
      <c r="K643" s="2">
        <v>1579.53</v>
      </c>
      <c r="L643" s="2">
        <v>45.1</v>
      </c>
      <c r="M643" s="2">
        <v>3502</v>
      </c>
      <c r="N643" s="2">
        <v>655</v>
      </c>
      <c r="O643" s="2">
        <v>2832</v>
      </c>
      <c r="P643" s="2">
        <v>81.3</v>
      </c>
    </row>
    <row r="644" spans="1:16" x14ac:dyDescent="0.25">
      <c r="A644" t="s">
        <v>15</v>
      </c>
      <c r="B644" t="s">
        <v>907</v>
      </c>
      <c r="C644" t="s">
        <v>42</v>
      </c>
      <c r="D644" t="s">
        <v>920</v>
      </c>
      <c r="E644" t="s">
        <v>47</v>
      </c>
      <c r="F644" t="s">
        <v>921</v>
      </c>
      <c r="G644" s="1">
        <f>45772</f>
        <v>45772</v>
      </c>
      <c r="H644" t="s">
        <v>2422</v>
      </c>
      <c r="I644" s="2">
        <v>1697.2</v>
      </c>
      <c r="J644" s="2">
        <v>1169.8900000000001</v>
      </c>
      <c r="K644" s="2">
        <v>527.30999999999995</v>
      </c>
      <c r="L644" s="2">
        <v>31.07</v>
      </c>
      <c r="M644" s="2">
        <v>1697.2</v>
      </c>
      <c r="N644" s="2">
        <v>1169.92</v>
      </c>
      <c r="O644" s="2">
        <v>490.28</v>
      </c>
      <c r="P644" s="2">
        <v>31.07</v>
      </c>
    </row>
    <row r="645" spans="1:16" x14ac:dyDescent="0.25">
      <c r="A645" t="s">
        <v>15</v>
      </c>
      <c r="B645" t="s">
        <v>907</v>
      </c>
      <c r="C645" t="s">
        <v>42</v>
      </c>
      <c r="D645" t="s">
        <v>922</v>
      </c>
      <c r="E645" t="s">
        <v>47</v>
      </c>
      <c r="F645" t="s">
        <v>921</v>
      </c>
      <c r="G645" s="1">
        <f>45776</f>
        <v>45776</v>
      </c>
      <c r="H645" t="s">
        <v>2422</v>
      </c>
      <c r="I645" s="2">
        <v>321.10000000000002</v>
      </c>
      <c r="J645" s="2">
        <v>208.32</v>
      </c>
      <c r="K645" s="2">
        <v>112.78</v>
      </c>
      <c r="L645" s="2">
        <v>35.119999999999997</v>
      </c>
      <c r="M645" s="2">
        <v>321.10000000000002</v>
      </c>
      <c r="N645" s="2">
        <v>193.32</v>
      </c>
      <c r="O645" s="2">
        <v>103.78</v>
      </c>
      <c r="P645" s="2">
        <v>39.79</v>
      </c>
    </row>
    <row r="646" spans="1:16" x14ac:dyDescent="0.25">
      <c r="A646" t="s">
        <v>15</v>
      </c>
      <c r="B646" t="s">
        <v>907</v>
      </c>
      <c r="C646" t="s">
        <v>42</v>
      </c>
      <c r="D646" t="s">
        <v>923</v>
      </c>
      <c r="E646" t="s">
        <v>47</v>
      </c>
      <c r="F646" t="s">
        <v>924</v>
      </c>
      <c r="G646" s="1">
        <f>45776</f>
        <v>45776</v>
      </c>
      <c r="H646" t="s">
        <v>2422</v>
      </c>
      <c r="I646" s="2">
        <v>18055</v>
      </c>
      <c r="J646" s="2">
        <v>13531</v>
      </c>
      <c r="K646" s="2">
        <v>4524</v>
      </c>
      <c r="L646" s="2">
        <v>25.06</v>
      </c>
      <c r="M646" s="2">
        <v>18055</v>
      </c>
      <c r="N646" s="2">
        <v>13531</v>
      </c>
      <c r="O646" s="2">
        <v>4339</v>
      </c>
      <c r="P646" s="2">
        <v>25.06</v>
      </c>
    </row>
    <row r="647" spans="1:16" x14ac:dyDescent="0.25">
      <c r="A647" t="s">
        <v>15</v>
      </c>
      <c r="B647" t="s">
        <v>907</v>
      </c>
      <c r="C647" t="s">
        <v>42</v>
      </c>
      <c r="D647" t="s">
        <v>925</v>
      </c>
      <c r="E647" t="s">
        <v>47</v>
      </c>
      <c r="F647" t="s">
        <v>48</v>
      </c>
      <c r="G647" s="1">
        <f>45762</f>
        <v>45762</v>
      </c>
      <c r="H647" t="s">
        <v>2422</v>
      </c>
      <c r="I647" s="2">
        <v>130</v>
      </c>
      <c r="J647" s="2">
        <v>96</v>
      </c>
      <c r="K647" s="2">
        <v>34</v>
      </c>
      <c r="L647" s="2">
        <v>26.15</v>
      </c>
      <c r="M647" s="2">
        <v>130</v>
      </c>
      <c r="N647" s="2">
        <v>96</v>
      </c>
      <c r="O647" s="2">
        <v>34</v>
      </c>
      <c r="P647" s="2">
        <v>26.15</v>
      </c>
    </row>
    <row r="648" spans="1:16" x14ac:dyDescent="0.25">
      <c r="A648" t="s">
        <v>15</v>
      </c>
      <c r="B648" t="s">
        <v>907</v>
      </c>
      <c r="C648" t="s">
        <v>17</v>
      </c>
      <c r="D648" t="s">
        <v>926</v>
      </c>
      <c r="E648" t="s">
        <v>19</v>
      </c>
      <c r="F648" t="s">
        <v>50</v>
      </c>
      <c r="G648" s="1">
        <f>45770</f>
        <v>45770</v>
      </c>
      <c r="H648" t="s">
        <v>51</v>
      </c>
      <c r="I648" s="2">
        <v>5251.48</v>
      </c>
      <c r="J648" s="2">
        <v>3571</v>
      </c>
      <c r="K648" s="2">
        <v>1680.48</v>
      </c>
      <c r="L648" s="2">
        <v>32</v>
      </c>
      <c r="M648" s="2">
        <v>5251.48</v>
      </c>
      <c r="N648" s="2">
        <v>3571</v>
      </c>
      <c r="O648" s="2">
        <v>1377.48</v>
      </c>
      <c r="P648" s="2">
        <v>32</v>
      </c>
    </row>
    <row r="649" spans="1:16" x14ac:dyDescent="0.25">
      <c r="A649" t="s">
        <v>15</v>
      </c>
      <c r="B649" t="s">
        <v>907</v>
      </c>
      <c r="C649" t="s">
        <v>17</v>
      </c>
      <c r="D649" t="s">
        <v>927</v>
      </c>
      <c r="E649" t="s">
        <v>19</v>
      </c>
      <c r="F649" t="s">
        <v>928</v>
      </c>
      <c r="G649" s="1">
        <f>45751</f>
        <v>45751</v>
      </c>
      <c r="H649" t="s">
        <v>51</v>
      </c>
      <c r="I649" s="2">
        <v>554.9</v>
      </c>
      <c r="J649" s="2">
        <v>310.5</v>
      </c>
      <c r="K649" s="2">
        <v>244.4</v>
      </c>
      <c r="L649" s="2">
        <v>44.04</v>
      </c>
      <c r="M649" s="2">
        <v>554.9</v>
      </c>
      <c r="N649" s="2">
        <v>310.5</v>
      </c>
      <c r="O649" s="2">
        <v>199.4</v>
      </c>
      <c r="P649" s="2">
        <v>44.04</v>
      </c>
    </row>
    <row r="650" spans="1:16" x14ac:dyDescent="0.25">
      <c r="A650" t="s">
        <v>15</v>
      </c>
      <c r="B650" t="s">
        <v>907</v>
      </c>
      <c r="C650" t="s">
        <v>17</v>
      </c>
      <c r="D650" t="s">
        <v>929</v>
      </c>
      <c r="E650" t="s">
        <v>19</v>
      </c>
      <c r="F650" t="s">
        <v>184</v>
      </c>
      <c r="G650" s="1">
        <f>45751</f>
        <v>45751</v>
      </c>
      <c r="H650" t="s">
        <v>51</v>
      </c>
      <c r="I650" s="2">
        <v>1511</v>
      </c>
      <c r="J650" s="2">
        <v>1010.48</v>
      </c>
      <c r="K650" s="2">
        <v>500.52</v>
      </c>
      <c r="L650" s="2">
        <v>33.130000000000003</v>
      </c>
      <c r="M650" s="2">
        <v>1511</v>
      </c>
      <c r="N650" s="2">
        <v>1010.48</v>
      </c>
      <c r="O650" s="2">
        <v>450.52</v>
      </c>
      <c r="P650" s="2">
        <v>33.130000000000003</v>
      </c>
    </row>
    <row r="651" spans="1:16" x14ac:dyDescent="0.25">
      <c r="A651" t="s">
        <v>15</v>
      </c>
      <c r="B651" t="s">
        <v>907</v>
      </c>
      <c r="C651" t="s">
        <v>17</v>
      </c>
      <c r="D651" t="s">
        <v>930</v>
      </c>
      <c r="E651" t="s">
        <v>19</v>
      </c>
      <c r="F651" t="s">
        <v>181</v>
      </c>
      <c r="G651" s="1">
        <f>45754</f>
        <v>45754</v>
      </c>
      <c r="H651" t="s">
        <v>51</v>
      </c>
      <c r="I651" s="2">
        <v>191.4</v>
      </c>
      <c r="J651" s="2">
        <v>117.8</v>
      </c>
      <c r="K651" s="2">
        <v>73.599999999999994</v>
      </c>
      <c r="L651" s="2">
        <v>38.450000000000003</v>
      </c>
      <c r="M651" s="2">
        <v>191.4</v>
      </c>
      <c r="N651" s="2">
        <v>117.8</v>
      </c>
      <c r="O651" s="2">
        <v>64.599999999999994</v>
      </c>
      <c r="P651" s="2">
        <v>38.450000000000003</v>
      </c>
    </row>
    <row r="652" spans="1:16" x14ac:dyDescent="0.25">
      <c r="A652" t="s">
        <v>15</v>
      </c>
      <c r="B652" t="s">
        <v>907</v>
      </c>
      <c r="C652" t="s">
        <v>17</v>
      </c>
      <c r="D652" t="s">
        <v>931</v>
      </c>
      <c r="E652" t="s">
        <v>19</v>
      </c>
      <c r="F652" t="s">
        <v>494</v>
      </c>
      <c r="G652" s="1">
        <f>45754</f>
        <v>45754</v>
      </c>
      <c r="H652" t="s">
        <v>51</v>
      </c>
      <c r="I652" s="2">
        <v>268.89999999999998</v>
      </c>
      <c r="J652" s="2">
        <v>181.75</v>
      </c>
      <c r="K652" s="2">
        <v>87.15</v>
      </c>
      <c r="L652" s="2">
        <v>32.409999999999997</v>
      </c>
      <c r="M652" s="2">
        <v>268.89999999999998</v>
      </c>
      <c r="N652" s="2">
        <v>181.75</v>
      </c>
      <c r="O652" s="2">
        <v>78.150000000000006</v>
      </c>
      <c r="P652" s="2">
        <v>32.409999999999997</v>
      </c>
    </row>
    <row r="653" spans="1:16" x14ac:dyDescent="0.25">
      <c r="A653" t="s">
        <v>15</v>
      </c>
      <c r="B653" t="s">
        <v>907</v>
      </c>
      <c r="C653" t="s">
        <v>17</v>
      </c>
      <c r="D653" t="s">
        <v>932</v>
      </c>
      <c r="E653" t="s">
        <v>19</v>
      </c>
      <c r="F653" t="s">
        <v>497</v>
      </c>
      <c r="G653" s="1">
        <f>45755</f>
        <v>45755</v>
      </c>
      <c r="H653" t="s">
        <v>51</v>
      </c>
      <c r="I653" s="2">
        <v>1996.5</v>
      </c>
      <c r="J653" s="2">
        <v>1236.8</v>
      </c>
      <c r="K653" s="2">
        <v>759.7</v>
      </c>
      <c r="L653" s="2">
        <v>38.049999999999997</v>
      </c>
      <c r="M653" s="2">
        <v>1996.5</v>
      </c>
      <c r="N653" s="2">
        <v>1329.1</v>
      </c>
      <c r="O653" s="2">
        <v>647.4</v>
      </c>
      <c r="P653" s="2">
        <v>33.43</v>
      </c>
    </row>
    <row r="654" spans="1:16" x14ac:dyDescent="0.25">
      <c r="A654" t="s">
        <v>15</v>
      </c>
      <c r="B654" t="s">
        <v>907</v>
      </c>
      <c r="C654" t="s">
        <v>17</v>
      </c>
      <c r="D654" t="s">
        <v>933</v>
      </c>
      <c r="E654" t="s">
        <v>19</v>
      </c>
      <c r="F654" t="s">
        <v>265</v>
      </c>
      <c r="G654" s="1">
        <f>45757</f>
        <v>45757</v>
      </c>
      <c r="H654" t="s">
        <v>51</v>
      </c>
      <c r="I654" s="2">
        <v>909.2</v>
      </c>
      <c r="J654" s="2">
        <v>617.58000000000004</v>
      </c>
      <c r="K654" s="2">
        <v>291.62</v>
      </c>
      <c r="L654" s="2">
        <v>32.07</v>
      </c>
      <c r="M654" s="2">
        <v>909.2</v>
      </c>
      <c r="N654" s="2">
        <v>617.58000000000004</v>
      </c>
      <c r="O654" s="2">
        <v>282.62</v>
      </c>
      <c r="P654" s="2">
        <v>32.07</v>
      </c>
    </row>
    <row r="655" spans="1:16" x14ac:dyDescent="0.25">
      <c r="A655" t="s">
        <v>15</v>
      </c>
      <c r="B655" t="s">
        <v>907</v>
      </c>
      <c r="C655" t="s">
        <v>17</v>
      </c>
      <c r="D655" t="s">
        <v>934</v>
      </c>
      <c r="E655" t="s">
        <v>19</v>
      </c>
      <c r="F655" t="s">
        <v>50</v>
      </c>
      <c r="G655" s="1">
        <f>45758</f>
        <v>45758</v>
      </c>
      <c r="H655" t="s">
        <v>51</v>
      </c>
      <c r="I655" s="2">
        <v>3690.73</v>
      </c>
      <c r="J655" s="2">
        <v>2560.5300000000002</v>
      </c>
      <c r="K655" s="2">
        <v>1130.2</v>
      </c>
      <c r="L655" s="2">
        <v>30.62</v>
      </c>
      <c r="M655" s="2">
        <v>3690.73</v>
      </c>
      <c r="N655" s="2">
        <v>2560.52</v>
      </c>
      <c r="O655" s="2">
        <v>1094.21</v>
      </c>
      <c r="P655" s="2">
        <v>30.62</v>
      </c>
    </row>
    <row r="656" spans="1:16" x14ac:dyDescent="0.25">
      <c r="A656" t="s">
        <v>15</v>
      </c>
      <c r="B656" t="s">
        <v>907</v>
      </c>
      <c r="C656" t="s">
        <v>17</v>
      </c>
      <c r="D656" t="s">
        <v>935</v>
      </c>
      <c r="E656" t="s">
        <v>19</v>
      </c>
      <c r="F656" t="s">
        <v>491</v>
      </c>
      <c r="G656" s="1">
        <f>45761</f>
        <v>45761</v>
      </c>
      <c r="H656" t="s">
        <v>51</v>
      </c>
      <c r="I656" s="2">
        <v>463.4</v>
      </c>
      <c r="J656" s="2">
        <v>126.62</v>
      </c>
      <c r="K656" s="2">
        <v>336.78</v>
      </c>
      <c r="L656" s="2">
        <v>72.680000000000007</v>
      </c>
      <c r="M656" s="2">
        <v>463.4</v>
      </c>
      <c r="N656" s="2">
        <v>126.62</v>
      </c>
      <c r="O656" s="2">
        <v>308.77999999999997</v>
      </c>
      <c r="P656" s="2">
        <v>72.680000000000007</v>
      </c>
    </row>
    <row r="657" spans="1:16" x14ac:dyDescent="0.25">
      <c r="A657" t="s">
        <v>15</v>
      </c>
      <c r="B657" t="s">
        <v>907</v>
      </c>
      <c r="C657" t="s">
        <v>17</v>
      </c>
      <c r="D657" t="s">
        <v>936</v>
      </c>
      <c r="E657" t="s">
        <v>19</v>
      </c>
      <c r="F657" t="s">
        <v>497</v>
      </c>
      <c r="G657" s="1">
        <f>45763</f>
        <v>45763</v>
      </c>
      <c r="H657" t="s">
        <v>51</v>
      </c>
      <c r="I657" s="2">
        <v>640.20000000000005</v>
      </c>
      <c r="J657" s="2">
        <v>429</v>
      </c>
      <c r="K657" s="2">
        <v>211.2</v>
      </c>
      <c r="L657" s="2">
        <v>32.99</v>
      </c>
      <c r="M657" s="2">
        <v>640.20000000000005</v>
      </c>
      <c r="N657" s="2">
        <v>429</v>
      </c>
      <c r="O657" s="2">
        <v>186.2</v>
      </c>
      <c r="P657" s="2">
        <v>32.99</v>
      </c>
    </row>
    <row r="658" spans="1:16" x14ac:dyDescent="0.25">
      <c r="A658" t="s">
        <v>15</v>
      </c>
      <c r="B658" t="s">
        <v>907</v>
      </c>
      <c r="C658" t="s">
        <v>17</v>
      </c>
      <c r="D658" t="s">
        <v>937</v>
      </c>
      <c r="E658" t="s">
        <v>19</v>
      </c>
      <c r="F658" t="s">
        <v>938</v>
      </c>
      <c r="G658" s="1">
        <f>45770</f>
        <v>45770</v>
      </c>
      <c r="H658" t="s">
        <v>51</v>
      </c>
      <c r="I658" s="2">
        <v>1298.5</v>
      </c>
      <c r="J658" s="2">
        <v>925.48</v>
      </c>
      <c r="K658" s="2">
        <v>373.02</v>
      </c>
      <c r="L658" s="2">
        <v>28.73</v>
      </c>
      <c r="M658" s="2">
        <v>1298.5</v>
      </c>
      <c r="N658" s="2">
        <v>925.48</v>
      </c>
      <c r="O658" s="2">
        <v>332.02</v>
      </c>
      <c r="P658" s="2">
        <v>28.73</v>
      </c>
    </row>
    <row r="659" spans="1:16" x14ac:dyDescent="0.25">
      <c r="A659" t="s">
        <v>15</v>
      </c>
      <c r="B659" t="s">
        <v>907</v>
      </c>
      <c r="C659" t="s">
        <v>17</v>
      </c>
      <c r="D659" t="s">
        <v>939</v>
      </c>
      <c r="E659" t="s">
        <v>19</v>
      </c>
      <c r="F659" t="s">
        <v>491</v>
      </c>
      <c r="G659" s="1">
        <f>45771</f>
        <v>45771</v>
      </c>
      <c r="H659" t="s">
        <v>51</v>
      </c>
      <c r="I659" s="2">
        <v>266.8</v>
      </c>
      <c r="J659" s="2">
        <v>166.28</v>
      </c>
      <c r="K659" s="2">
        <v>100.52</v>
      </c>
      <c r="L659" s="2">
        <v>37.68</v>
      </c>
      <c r="M659" s="2">
        <v>266.8</v>
      </c>
      <c r="N659" s="2">
        <v>166.27</v>
      </c>
      <c r="O659" s="2">
        <v>90.13</v>
      </c>
      <c r="P659" s="2">
        <v>37.68</v>
      </c>
    </row>
    <row r="660" spans="1:16" x14ac:dyDescent="0.25">
      <c r="A660" t="s">
        <v>15</v>
      </c>
      <c r="B660" t="s">
        <v>907</v>
      </c>
      <c r="C660" t="s">
        <v>17</v>
      </c>
      <c r="D660" t="s">
        <v>940</v>
      </c>
      <c r="E660" t="s">
        <v>19</v>
      </c>
      <c r="F660" t="s">
        <v>184</v>
      </c>
      <c r="G660" s="1">
        <f>45772</f>
        <v>45772</v>
      </c>
      <c r="H660" t="s">
        <v>51</v>
      </c>
      <c r="I660" s="2">
        <v>225.54</v>
      </c>
      <c r="J660" s="2">
        <v>93.08</v>
      </c>
      <c r="K660" s="2">
        <v>132.46</v>
      </c>
      <c r="L660" s="2">
        <v>58.73</v>
      </c>
      <c r="M660" s="2">
        <v>225.54</v>
      </c>
      <c r="N660" s="2">
        <v>93.08</v>
      </c>
      <c r="O660" s="2">
        <v>74.459999999999994</v>
      </c>
      <c r="P660" s="2">
        <v>58.73</v>
      </c>
    </row>
    <row r="661" spans="1:16" x14ac:dyDescent="0.25">
      <c r="A661" t="s">
        <v>15</v>
      </c>
      <c r="B661" t="s">
        <v>907</v>
      </c>
      <c r="C661" t="s">
        <v>17</v>
      </c>
      <c r="D661" t="s">
        <v>941</v>
      </c>
      <c r="E661" t="s">
        <v>47</v>
      </c>
      <c r="F661" t="s">
        <v>942</v>
      </c>
      <c r="G661" s="1">
        <f>45775</f>
        <v>45775</v>
      </c>
      <c r="H661" t="s">
        <v>2422</v>
      </c>
      <c r="I661" s="2">
        <v>3355</v>
      </c>
      <c r="J661" s="2">
        <v>2612.8000000000002</v>
      </c>
      <c r="K661" s="2">
        <v>742.2</v>
      </c>
      <c r="L661" s="2">
        <v>22.12</v>
      </c>
      <c r="M661" s="2">
        <v>3355</v>
      </c>
      <c r="N661" s="2">
        <v>2612.8000000000002</v>
      </c>
      <c r="O661" s="2">
        <v>698.2</v>
      </c>
      <c r="P661" s="2">
        <v>22.12</v>
      </c>
    </row>
    <row r="662" spans="1:16" x14ac:dyDescent="0.25">
      <c r="A662" t="s">
        <v>15</v>
      </c>
      <c r="B662" t="s">
        <v>907</v>
      </c>
      <c r="C662" t="s">
        <v>17</v>
      </c>
      <c r="D662" t="s">
        <v>943</v>
      </c>
      <c r="E662" t="s">
        <v>19</v>
      </c>
      <c r="F662" t="s">
        <v>944</v>
      </c>
      <c r="G662" s="1">
        <f>45770</f>
        <v>45770</v>
      </c>
      <c r="H662" t="s">
        <v>51</v>
      </c>
      <c r="I662" s="2">
        <v>215.25</v>
      </c>
      <c r="J662" s="2">
        <v>105</v>
      </c>
      <c r="K662" s="2">
        <v>110.25</v>
      </c>
      <c r="L662" s="2">
        <v>51.22</v>
      </c>
      <c r="M662" s="2">
        <v>215.25</v>
      </c>
      <c r="N662" s="2">
        <v>103</v>
      </c>
      <c r="O662" s="2">
        <v>87.25</v>
      </c>
      <c r="P662" s="2">
        <v>52.15</v>
      </c>
    </row>
    <row r="663" spans="1:16" x14ac:dyDescent="0.25">
      <c r="A663" t="s">
        <v>15</v>
      </c>
      <c r="B663" t="s">
        <v>907</v>
      </c>
      <c r="C663" t="s">
        <v>58</v>
      </c>
      <c r="D663" t="s">
        <v>945</v>
      </c>
      <c r="E663" t="s">
        <v>47</v>
      </c>
      <c r="F663" t="s">
        <v>69</v>
      </c>
      <c r="G663" s="1">
        <f>45748</f>
        <v>45748</v>
      </c>
      <c r="H663" t="s">
        <v>2422</v>
      </c>
      <c r="I663" s="2">
        <v>19</v>
      </c>
      <c r="J663" s="2">
        <v>16</v>
      </c>
      <c r="K663" s="2">
        <v>3</v>
      </c>
      <c r="L663" s="2">
        <v>15.79</v>
      </c>
      <c r="M663" s="2">
        <v>19</v>
      </c>
      <c r="N663" s="2">
        <v>16</v>
      </c>
      <c r="O663" s="2">
        <v>3</v>
      </c>
      <c r="P663" s="2">
        <v>15.79</v>
      </c>
    </row>
    <row r="664" spans="1:16" x14ac:dyDescent="0.25">
      <c r="A664" t="s">
        <v>15</v>
      </c>
      <c r="B664" t="s">
        <v>907</v>
      </c>
      <c r="C664" t="s">
        <v>58</v>
      </c>
      <c r="D664" t="s">
        <v>946</v>
      </c>
      <c r="E664" t="s">
        <v>19</v>
      </c>
      <c r="F664" t="s">
        <v>60</v>
      </c>
      <c r="G664" s="1">
        <f>45757</f>
        <v>45757</v>
      </c>
      <c r="H664" t="s">
        <v>51</v>
      </c>
      <c r="I664" s="2">
        <v>1095.2</v>
      </c>
      <c r="J664" s="2">
        <v>763.01</v>
      </c>
      <c r="K664" s="2">
        <v>332.19</v>
      </c>
      <c r="L664" s="2">
        <v>30.33</v>
      </c>
      <c r="M664" s="2">
        <v>1095.2</v>
      </c>
      <c r="N664" s="2">
        <v>770.49</v>
      </c>
      <c r="O664" s="2">
        <v>324.70999999999998</v>
      </c>
      <c r="P664" s="2">
        <v>29.65</v>
      </c>
    </row>
    <row r="665" spans="1:16" x14ac:dyDescent="0.25">
      <c r="A665" t="s">
        <v>15</v>
      </c>
      <c r="B665" t="s">
        <v>907</v>
      </c>
      <c r="C665" t="s">
        <v>58</v>
      </c>
      <c r="D665" t="s">
        <v>947</v>
      </c>
      <c r="E665" t="s">
        <v>19</v>
      </c>
      <c r="F665" t="s">
        <v>129</v>
      </c>
      <c r="G665" s="1">
        <f>45749</f>
        <v>45749</v>
      </c>
      <c r="H665" t="s">
        <v>56</v>
      </c>
      <c r="I665" s="2">
        <v>0</v>
      </c>
      <c r="J665" s="2">
        <v>10.1</v>
      </c>
      <c r="K665" s="2">
        <v>-10.1</v>
      </c>
      <c r="L665" s="2">
        <v>0</v>
      </c>
      <c r="M665" s="2">
        <v>0</v>
      </c>
      <c r="N665" s="2">
        <v>0.1</v>
      </c>
      <c r="O665" s="2">
        <v>0</v>
      </c>
      <c r="P665" s="2">
        <v>0</v>
      </c>
    </row>
    <row r="666" spans="1:16" x14ac:dyDescent="0.25">
      <c r="A666" t="s">
        <v>15</v>
      </c>
      <c r="B666" t="s">
        <v>907</v>
      </c>
      <c r="C666" t="s">
        <v>58</v>
      </c>
      <c r="D666" t="s">
        <v>948</v>
      </c>
      <c r="E666" t="s">
        <v>19</v>
      </c>
      <c r="F666" t="s">
        <v>949</v>
      </c>
      <c r="G666" s="1">
        <f>45776</f>
        <v>45776</v>
      </c>
      <c r="H666" t="s">
        <v>56</v>
      </c>
      <c r="I666" s="2">
        <v>593.46</v>
      </c>
      <c r="J666" s="2">
        <v>418</v>
      </c>
      <c r="K666" s="2">
        <v>175.46</v>
      </c>
      <c r="L666" s="2">
        <v>29.57</v>
      </c>
      <c r="M666" s="2">
        <v>593.46</v>
      </c>
      <c r="N666" s="2">
        <v>418</v>
      </c>
      <c r="O666" s="2">
        <v>45.46</v>
      </c>
      <c r="P666" s="2">
        <v>29.57</v>
      </c>
    </row>
    <row r="667" spans="1:16" x14ac:dyDescent="0.25">
      <c r="A667" t="s">
        <v>15</v>
      </c>
      <c r="B667" t="s">
        <v>907</v>
      </c>
      <c r="C667" t="s">
        <v>58</v>
      </c>
      <c r="D667" t="s">
        <v>950</v>
      </c>
      <c r="E667" t="s">
        <v>19</v>
      </c>
      <c r="F667" t="s">
        <v>465</v>
      </c>
      <c r="G667" s="1">
        <f>45748</f>
        <v>45748</v>
      </c>
      <c r="H667" t="s">
        <v>51</v>
      </c>
      <c r="I667" s="2">
        <v>1355.5</v>
      </c>
      <c r="J667" s="2">
        <v>941.11</v>
      </c>
      <c r="K667" s="2">
        <v>414.39</v>
      </c>
      <c r="L667" s="2">
        <v>30.57</v>
      </c>
      <c r="M667" s="2">
        <v>1355.5</v>
      </c>
      <c r="N667" s="2">
        <v>922.63</v>
      </c>
      <c r="O667" s="2">
        <v>423.87</v>
      </c>
      <c r="P667" s="2">
        <v>31.93</v>
      </c>
    </row>
    <row r="668" spans="1:16" x14ac:dyDescent="0.25">
      <c r="A668" t="s">
        <v>15</v>
      </c>
      <c r="B668" t="s">
        <v>907</v>
      </c>
      <c r="C668" t="s">
        <v>58</v>
      </c>
      <c r="D668" t="s">
        <v>951</v>
      </c>
      <c r="E668" t="s">
        <v>19</v>
      </c>
      <c r="F668" t="s">
        <v>64</v>
      </c>
      <c r="G668" s="1">
        <f>45748</f>
        <v>45748</v>
      </c>
      <c r="H668" t="s">
        <v>51</v>
      </c>
      <c r="I668" s="2">
        <v>2536.88</v>
      </c>
      <c r="J668" s="2">
        <v>1725.08</v>
      </c>
      <c r="K668" s="2">
        <v>811.8</v>
      </c>
      <c r="L668" s="2">
        <v>32</v>
      </c>
      <c r="M668" s="2">
        <v>2536.88</v>
      </c>
      <c r="N668" s="2">
        <v>1725.08</v>
      </c>
      <c r="O668" s="2">
        <v>751.8</v>
      </c>
      <c r="P668" s="2">
        <v>32</v>
      </c>
    </row>
    <row r="669" spans="1:16" x14ac:dyDescent="0.25">
      <c r="A669" t="s">
        <v>15</v>
      </c>
      <c r="B669" t="s">
        <v>907</v>
      </c>
      <c r="C669" t="s">
        <v>58</v>
      </c>
      <c r="D669" t="s">
        <v>952</v>
      </c>
      <c r="E669" t="s">
        <v>19</v>
      </c>
      <c r="F669" t="s">
        <v>131</v>
      </c>
      <c r="G669" s="1">
        <f>45750</f>
        <v>45750</v>
      </c>
      <c r="H669" t="s">
        <v>56</v>
      </c>
      <c r="I669" s="2">
        <v>652.14</v>
      </c>
      <c r="J669" s="2">
        <v>423.9</v>
      </c>
      <c r="K669" s="2">
        <v>228.24</v>
      </c>
      <c r="L669" s="2">
        <v>35</v>
      </c>
      <c r="M669" s="2">
        <v>652.14</v>
      </c>
      <c r="N669" s="2">
        <v>423.9</v>
      </c>
      <c r="O669" s="2">
        <v>205.74</v>
      </c>
      <c r="P669" s="2">
        <v>35</v>
      </c>
    </row>
    <row r="670" spans="1:16" x14ac:dyDescent="0.25">
      <c r="A670" t="s">
        <v>15</v>
      </c>
      <c r="B670" t="s">
        <v>907</v>
      </c>
      <c r="C670" t="s">
        <v>58</v>
      </c>
      <c r="D670" t="s">
        <v>953</v>
      </c>
      <c r="E670" t="s">
        <v>19</v>
      </c>
      <c r="F670" t="s">
        <v>103</v>
      </c>
      <c r="G670" s="1">
        <f>45750</f>
        <v>45750</v>
      </c>
      <c r="H670" t="s">
        <v>56</v>
      </c>
      <c r="I670" s="2">
        <v>8358.2999999999993</v>
      </c>
      <c r="J670" s="2">
        <v>6018</v>
      </c>
      <c r="K670" s="2">
        <v>2340.3000000000002</v>
      </c>
      <c r="L670" s="2">
        <v>28</v>
      </c>
      <c r="M670" s="2">
        <v>8358.2999999999993</v>
      </c>
      <c r="N670" s="2">
        <v>6018</v>
      </c>
      <c r="O670" s="2">
        <v>2194.3000000000002</v>
      </c>
      <c r="P670" s="2">
        <v>28</v>
      </c>
    </row>
    <row r="671" spans="1:16" x14ac:dyDescent="0.25">
      <c r="A671" t="s">
        <v>15</v>
      </c>
      <c r="B671" t="s">
        <v>907</v>
      </c>
      <c r="C671" t="s">
        <v>58</v>
      </c>
      <c r="D671" t="s">
        <v>954</v>
      </c>
      <c r="E671" t="s">
        <v>19</v>
      </c>
      <c r="F671" t="s">
        <v>77</v>
      </c>
      <c r="G671" s="1">
        <f>45751</f>
        <v>45751</v>
      </c>
      <c r="H671" t="s">
        <v>56</v>
      </c>
      <c r="I671" s="2">
        <v>361.6</v>
      </c>
      <c r="J671" s="2">
        <v>251.28</v>
      </c>
      <c r="K671" s="2">
        <v>110.32</v>
      </c>
      <c r="L671" s="2">
        <v>30.51</v>
      </c>
      <c r="M671" s="2">
        <v>361.6</v>
      </c>
      <c r="N671" s="2">
        <v>251.28</v>
      </c>
      <c r="O671" s="2">
        <v>71.319999999999993</v>
      </c>
      <c r="P671" s="2">
        <v>30.51</v>
      </c>
    </row>
    <row r="672" spans="1:16" x14ac:dyDescent="0.25">
      <c r="A672" t="s">
        <v>15</v>
      </c>
      <c r="B672" t="s">
        <v>907</v>
      </c>
      <c r="C672" t="s">
        <v>58</v>
      </c>
      <c r="D672" t="s">
        <v>955</v>
      </c>
      <c r="E672" t="s">
        <v>19</v>
      </c>
      <c r="F672" t="s">
        <v>465</v>
      </c>
      <c r="G672" s="1">
        <f>45751</f>
        <v>45751</v>
      </c>
      <c r="H672" t="s">
        <v>56</v>
      </c>
      <c r="I672" s="2">
        <v>3980.13</v>
      </c>
      <c r="J672" s="2">
        <v>2750.83</v>
      </c>
      <c r="K672" s="2">
        <v>1229.3</v>
      </c>
      <c r="L672" s="2">
        <v>30.89</v>
      </c>
      <c r="M672" s="2">
        <v>3980.13</v>
      </c>
      <c r="N672" s="2">
        <v>2728.19</v>
      </c>
      <c r="O672" s="2">
        <v>1225.94</v>
      </c>
      <c r="P672" s="2">
        <v>31.45</v>
      </c>
    </row>
    <row r="673" spans="1:16" x14ac:dyDescent="0.25">
      <c r="A673" t="s">
        <v>15</v>
      </c>
      <c r="B673" t="s">
        <v>907</v>
      </c>
      <c r="C673" t="s">
        <v>58</v>
      </c>
      <c r="D673" t="s">
        <v>956</v>
      </c>
      <c r="E673" t="s">
        <v>19</v>
      </c>
      <c r="F673" t="s">
        <v>60</v>
      </c>
      <c r="G673" s="1">
        <f>45751</f>
        <v>45751</v>
      </c>
      <c r="H673" t="s">
        <v>56</v>
      </c>
      <c r="I673" s="2">
        <v>1738.2</v>
      </c>
      <c r="J673" s="2">
        <v>1197.55</v>
      </c>
      <c r="K673" s="2">
        <v>540.65</v>
      </c>
      <c r="L673" s="2">
        <v>31.1</v>
      </c>
      <c r="M673" s="2">
        <v>1738.2</v>
      </c>
      <c r="N673" s="2">
        <v>1229.55</v>
      </c>
      <c r="O673" s="2">
        <v>508.65</v>
      </c>
      <c r="P673" s="2">
        <v>29.26</v>
      </c>
    </row>
    <row r="674" spans="1:16" x14ac:dyDescent="0.25">
      <c r="A674" t="s">
        <v>15</v>
      </c>
      <c r="B674" t="s">
        <v>907</v>
      </c>
      <c r="C674" t="s">
        <v>58</v>
      </c>
      <c r="D674" t="s">
        <v>957</v>
      </c>
      <c r="E674" t="s">
        <v>19</v>
      </c>
      <c r="F674" t="s">
        <v>64</v>
      </c>
      <c r="G674" s="1">
        <f>45754</f>
        <v>45754</v>
      </c>
      <c r="H674" t="s">
        <v>56</v>
      </c>
      <c r="I674" s="2">
        <v>7934.02</v>
      </c>
      <c r="J674" s="2">
        <v>5454.87</v>
      </c>
      <c r="K674" s="2">
        <v>2479.15</v>
      </c>
      <c r="L674" s="2">
        <v>31.25</v>
      </c>
      <c r="M674" s="2">
        <v>7934.02</v>
      </c>
      <c r="N674" s="2">
        <v>5343.5</v>
      </c>
      <c r="O674" s="2">
        <v>2590.52</v>
      </c>
      <c r="P674" s="2">
        <v>32.65</v>
      </c>
    </row>
    <row r="675" spans="1:16" x14ac:dyDescent="0.25">
      <c r="A675" t="s">
        <v>15</v>
      </c>
      <c r="B675" t="s">
        <v>907</v>
      </c>
      <c r="C675" t="s">
        <v>58</v>
      </c>
      <c r="D675" t="s">
        <v>958</v>
      </c>
      <c r="E675" t="s">
        <v>19</v>
      </c>
      <c r="F675" t="s">
        <v>131</v>
      </c>
      <c r="G675" s="1">
        <f>45755</f>
        <v>45755</v>
      </c>
      <c r="H675" t="s">
        <v>56</v>
      </c>
      <c r="I675" s="2">
        <v>3641.19</v>
      </c>
      <c r="J675" s="2">
        <v>2531.36</v>
      </c>
      <c r="K675" s="2">
        <v>1109.83</v>
      </c>
      <c r="L675" s="2">
        <v>30.48</v>
      </c>
      <c r="M675" s="2">
        <v>3641.19</v>
      </c>
      <c r="N675" s="2">
        <v>2496.1999999999998</v>
      </c>
      <c r="O675" s="2">
        <v>1126.99</v>
      </c>
      <c r="P675" s="2">
        <v>31.45</v>
      </c>
    </row>
    <row r="676" spans="1:16" x14ac:dyDescent="0.25">
      <c r="A676" t="s">
        <v>15</v>
      </c>
      <c r="B676" t="s">
        <v>907</v>
      </c>
      <c r="C676" t="s">
        <v>58</v>
      </c>
      <c r="D676" t="s">
        <v>959</v>
      </c>
      <c r="E676" t="s">
        <v>19</v>
      </c>
      <c r="F676" t="s">
        <v>67</v>
      </c>
      <c r="G676" s="1">
        <f>45756</f>
        <v>45756</v>
      </c>
      <c r="H676" t="s">
        <v>56</v>
      </c>
      <c r="I676" s="2">
        <v>451.5</v>
      </c>
      <c r="J676" s="2">
        <v>310.75</v>
      </c>
      <c r="K676" s="2">
        <v>140.75</v>
      </c>
      <c r="L676" s="2">
        <v>31.17</v>
      </c>
      <c r="M676" s="2">
        <v>451.5</v>
      </c>
      <c r="N676" s="2">
        <v>310.75</v>
      </c>
      <c r="O676" s="2">
        <v>131.75</v>
      </c>
      <c r="P676" s="2">
        <v>31.17</v>
      </c>
    </row>
    <row r="677" spans="1:16" x14ac:dyDescent="0.25">
      <c r="A677" t="s">
        <v>15</v>
      </c>
      <c r="B677" t="s">
        <v>907</v>
      </c>
      <c r="C677" t="s">
        <v>58</v>
      </c>
      <c r="D677" t="s">
        <v>960</v>
      </c>
      <c r="E677" t="s">
        <v>19</v>
      </c>
      <c r="F677" t="s">
        <v>961</v>
      </c>
      <c r="G677" s="1">
        <f>45756</f>
        <v>45756</v>
      </c>
      <c r="H677" t="s">
        <v>56</v>
      </c>
      <c r="I677" s="2">
        <v>597.70000000000005</v>
      </c>
      <c r="J677" s="2">
        <v>356.68</v>
      </c>
      <c r="K677" s="2">
        <v>241.02</v>
      </c>
      <c r="L677" s="2">
        <v>40.32</v>
      </c>
      <c r="M677" s="2">
        <v>597.70000000000005</v>
      </c>
      <c r="N677" s="2">
        <v>356.68</v>
      </c>
      <c r="O677" s="2">
        <v>232.02</v>
      </c>
      <c r="P677" s="2">
        <v>40.32</v>
      </c>
    </row>
    <row r="678" spans="1:16" x14ac:dyDescent="0.25">
      <c r="A678" t="s">
        <v>15</v>
      </c>
      <c r="B678" t="s">
        <v>907</v>
      </c>
      <c r="C678" t="s">
        <v>58</v>
      </c>
      <c r="D678" t="s">
        <v>962</v>
      </c>
      <c r="E678" t="s">
        <v>19</v>
      </c>
      <c r="F678" t="s">
        <v>159</v>
      </c>
      <c r="G678" s="1">
        <f>45756</f>
        <v>45756</v>
      </c>
      <c r="H678" t="s">
        <v>56</v>
      </c>
      <c r="I678" s="2">
        <v>195.2</v>
      </c>
      <c r="J678" s="2">
        <v>76.53</v>
      </c>
      <c r="K678" s="2">
        <v>118.67</v>
      </c>
      <c r="L678" s="2">
        <v>60.79</v>
      </c>
      <c r="M678" s="2">
        <v>195.2</v>
      </c>
      <c r="N678" s="2">
        <v>81.63</v>
      </c>
      <c r="O678" s="2">
        <v>105.07</v>
      </c>
      <c r="P678" s="2">
        <v>58.18</v>
      </c>
    </row>
    <row r="679" spans="1:16" x14ac:dyDescent="0.25">
      <c r="A679" t="s">
        <v>15</v>
      </c>
      <c r="B679" t="s">
        <v>907</v>
      </c>
      <c r="C679" t="s">
        <v>58</v>
      </c>
      <c r="D679" t="s">
        <v>963</v>
      </c>
      <c r="E679" t="s">
        <v>19</v>
      </c>
      <c r="F679" t="s">
        <v>964</v>
      </c>
      <c r="G679" s="1">
        <f>45757</f>
        <v>45757</v>
      </c>
      <c r="H679" t="s">
        <v>56</v>
      </c>
      <c r="I679" s="2">
        <v>471.5</v>
      </c>
      <c r="J679" s="2">
        <v>307.58999999999997</v>
      </c>
      <c r="K679" s="2">
        <v>163.91</v>
      </c>
      <c r="L679" s="2">
        <v>34.76</v>
      </c>
      <c r="M679" s="2">
        <v>471.5</v>
      </c>
      <c r="N679" s="2">
        <v>307.01</v>
      </c>
      <c r="O679" s="2">
        <v>147.1</v>
      </c>
      <c r="P679" s="2">
        <v>34.89</v>
      </c>
    </row>
    <row r="680" spans="1:16" x14ac:dyDescent="0.25">
      <c r="A680" t="s">
        <v>15</v>
      </c>
      <c r="B680" t="s">
        <v>907</v>
      </c>
      <c r="C680" t="s">
        <v>58</v>
      </c>
      <c r="D680" t="s">
        <v>965</v>
      </c>
      <c r="E680" t="s">
        <v>19</v>
      </c>
      <c r="F680" t="s">
        <v>966</v>
      </c>
      <c r="G680" s="1">
        <f>45758</f>
        <v>45758</v>
      </c>
      <c r="H680" t="s">
        <v>56</v>
      </c>
      <c r="I680" s="2">
        <v>2605.8000000000002</v>
      </c>
      <c r="J680" s="2">
        <v>1780.84</v>
      </c>
      <c r="K680" s="2">
        <v>824.96</v>
      </c>
      <c r="L680" s="2">
        <v>31.66</v>
      </c>
      <c r="M680" s="2">
        <v>2605.8000000000002</v>
      </c>
      <c r="N680" s="2">
        <v>1780.84</v>
      </c>
      <c r="O680" s="2">
        <v>779.96</v>
      </c>
      <c r="P680" s="2">
        <v>31.66</v>
      </c>
    </row>
    <row r="681" spans="1:16" x14ac:dyDescent="0.25">
      <c r="A681" t="s">
        <v>15</v>
      </c>
      <c r="B681" t="s">
        <v>907</v>
      </c>
      <c r="C681" t="s">
        <v>58</v>
      </c>
      <c r="D681" t="s">
        <v>967</v>
      </c>
      <c r="E681" t="s">
        <v>19</v>
      </c>
      <c r="F681" t="s">
        <v>64</v>
      </c>
      <c r="G681" s="1">
        <f>45758</f>
        <v>45758</v>
      </c>
      <c r="H681" t="s">
        <v>56</v>
      </c>
      <c r="I681" s="2">
        <v>624.16999999999996</v>
      </c>
      <c r="J681" s="2">
        <v>464.39</v>
      </c>
      <c r="K681" s="2">
        <v>159.78</v>
      </c>
      <c r="L681" s="2">
        <v>25.6</v>
      </c>
      <c r="M681" s="2">
        <v>624.16999999999996</v>
      </c>
      <c r="N681" s="2">
        <v>456.26</v>
      </c>
      <c r="O681" s="2">
        <v>97.91</v>
      </c>
      <c r="P681" s="2">
        <v>26.9</v>
      </c>
    </row>
    <row r="682" spans="1:16" x14ac:dyDescent="0.25">
      <c r="A682" t="s">
        <v>15</v>
      </c>
      <c r="B682" t="s">
        <v>907</v>
      </c>
      <c r="C682" t="s">
        <v>58</v>
      </c>
      <c r="D682" t="s">
        <v>968</v>
      </c>
      <c r="E682" t="s">
        <v>19</v>
      </c>
      <c r="F682" t="s">
        <v>698</v>
      </c>
      <c r="G682" s="1">
        <f>45758</f>
        <v>45758</v>
      </c>
      <c r="H682" t="s">
        <v>56</v>
      </c>
      <c r="I682" s="2">
        <v>1008.52</v>
      </c>
      <c r="J682" s="2">
        <v>663</v>
      </c>
      <c r="K682" s="2">
        <v>345.52</v>
      </c>
      <c r="L682" s="2">
        <v>34.26</v>
      </c>
      <c r="M682" s="2">
        <v>1008.52</v>
      </c>
      <c r="N682" s="2">
        <v>663</v>
      </c>
      <c r="O682" s="2">
        <v>261.52</v>
      </c>
      <c r="P682" s="2">
        <v>34.26</v>
      </c>
    </row>
    <row r="683" spans="1:16" x14ac:dyDescent="0.25">
      <c r="A683" t="s">
        <v>15</v>
      </c>
      <c r="B683" t="s">
        <v>907</v>
      </c>
      <c r="C683" t="s">
        <v>58</v>
      </c>
      <c r="D683" t="s">
        <v>969</v>
      </c>
      <c r="E683" t="s">
        <v>19</v>
      </c>
      <c r="F683" t="s">
        <v>713</v>
      </c>
      <c r="G683" s="1">
        <f>45758</f>
        <v>45758</v>
      </c>
      <c r="H683" t="s">
        <v>56</v>
      </c>
      <c r="I683" s="2">
        <v>6683.6</v>
      </c>
      <c r="J683" s="2">
        <v>2814.69</v>
      </c>
      <c r="K683" s="2">
        <v>3868.91</v>
      </c>
      <c r="L683" s="2">
        <v>57.89</v>
      </c>
      <c r="M683" s="2">
        <v>6683.6</v>
      </c>
      <c r="N683" s="2">
        <v>4291.93</v>
      </c>
      <c r="O683" s="2">
        <v>2294.67</v>
      </c>
      <c r="P683" s="2">
        <v>35.78</v>
      </c>
    </row>
    <row r="684" spans="1:16" x14ac:dyDescent="0.25">
      <c r="A684" t="s">
        <v>15</v>
      </c>
      <c r="B684" t="s">
        <v>907</v>
      </c>
      <c r="C684" t="s">
        <v>58</v>
      </c>
      <c r="D684" t="s">
        <v>970</v>
      </c>
      <c r="E684" t="s">
        <v>19</v>
      </c>
      <c r="F684" t="s">
        <v>408</v>
      </c>
      <c r="G684" s="1">
        <f>45761</f>
        <v>45761</v>
      </c>
      <c r="H684" t="s">
        <v>51</v>
      </c>
      <c r="I684" s="2">
        <v>258.05</v>
      </c>
      <c r="J684" s="2">
        <v>179.26</v>
      </c>
      <c r="K684" s="2">
        <v>78.78</v>
      </c>
      <c r="L684" s="2">
        <v>30.53</v>
      </c>
      <c r="M684" s="2">
        <v>258.05</v>
      </c>
      <c r="N684" s="2">
        <v>196.85</v>
      </c>
      <c r="O684" s="2">
        <v>44.2</v>
      </c>
      <c r="P684" s="2">
        <v>23.72</v>
      </c>
    </row>
    <row r="685" spans="1:16" x14ac:dyDescent="0.25">
      <c r="A685" t="s">
        <v>15</v>
      </c>
      <c r="B685" t="s">
        <v>907</v>
      </c>
      <c r="C685" t="s">
        <v>58</v>
      </c>
      <c r="D685" t="s">
        <v>971</v>
      </c>
      <c r="E685" t="s">
        <v>19</v>
      </c>
      <c r="F685" t="s">
        <v>465</v>
      </c>
      <c r="G685" s="1">
        <f>45761</f>
        <v>45761</v>
      </c>
      <c r="H685" t="s">
        <v>51</v>
      </c>
      <c r="I685" s="2">
        <v>245</v>
      </c>
      <c r="J685" s="2">
        <v>166.25</v>
      </c>
      <c r="K685" s="2">
        <v>78.75</v>
      </c>
      <c r="L685" s="2">
        <v>32.14</v>
      </c>
      <c r="M685" s="2">
        <v>245</v>
      </c>
      <c r="N685" s="2">
        <v>166.25</v>
      </c>
      <c r="O685" s="2">
        <v>78.75</v>
      </c>
      <c r="P685" s="2">
        <v>32.14</v>
      </c>
    </row>
    <row r="686" spans="1:16" x14ac:dyDescent="0.25">
      <c r="A686" t="s">
        <v>15</v>
      </c>
      <c r="B686" t="s">
        <v>907</v>
      </c>
      <c r="C686" t="s">
        <v>58</v>
      </c>
      <c r="D686" t="s">
        <v>972</v>
      </c>
      <c r="E686" t="s">
        <v>19</v>
      </c>
      <c r="F686" t="s">
        <v>443</v>
      </c>
      <c r="G686" s="1">
        <f>45761</f>
        <v>45761</v>
      </c>
      <c r="H686" t="s">
        <v>51</v>
      </c>
      <c r="I686" s="2">
        <v>215.9</v>
      </c>
      <c r="J686" s="2">
        <v>140.46</v>
      </c>
      <c r="K686" s="2">
        <v>75.44</v>
      </c>
      <c r="L686" s="2">
        <v>34.94</v>
      </c>
      <c r="M686" s="2">
        <v>215.9</v>
      </c>
      <c r="N686" s="2">
        <v>140.46</v>
      </c>
      <c r="O686" s="2">
        <v>65.44</v>
      </c>
      <c r="P686" s="2">
        <v>34.94</v>
      </c>
    </row>
    <row r="687" spans="1:16" x14ac:dyDescent="0.25">
      <c r="A687" t="s">
        <v>15</v>
      </c>
      <c r="B687" t="s">
        <v>907</v>
      </c>
      <c r="C687" t="s">
        <v>58</v>
      </c>
      <c r="D687" t="s">
        <v>973</v>
      </c>
      <c r="E687" t="s">
        <v>47</v>
      </c>
      <c r="F687" t="s">
        <v>69</v>
      </c>
      <c r="G687" s="1">
        <f>45762</f>
        <v>45762</v>
      </c>
      <c r="H687" t="s">
        <v>70</v>
      </c>
      <c r="I687" s="2">
        <v>0</v>
      </c>
      <c r="J687" s="2">
        <v>0</v>
      </c>
      <c r="K687" s="2">
        <v>0</v>
      </c>
      <c r="L687" s="2">
        <v>0</v>
      </c>
      <c r="M687" s="2">
        <v>406.88</v>
      </c>
      <c r="N687" s="2">
        <v>343.74</v>
      </c>
      <c r="O687" s="2">
        <v>63.14</v>
      </c>
      <c r="P687" s="2">
        <v>15.52</v>
      </c>
    </row>
    <row r="688" spans="1:16" x14ac:dyDescent="0.25">
      <c r="A688" t="s">
        <v>15</v>
      </c>
      <c r="B688" t="s">
        <v>907</v>
      </c>
      <c r="C688" t="s">
        <v>58</v>
      </c>
      <c r="D688" t="s">
        <v>974</v>
      </c>
      <c r="E688" t="s">
        <v>19</v>
      </c>
      <c r="F688" t="s">
        <v>724</v>
      </c>
      <c r="G688" s="1">
        <f>45762</f>
        <v>45762</v>
      </c>
      <c r="H688" t="s">
        <v>51</v>
      </c>
      <c r="I688" s="2">
        <v>160.22</v>
      </c>
      <c r="J688" s="2">
        <v>103.75</v>
      </c>
      <c r="K688" s="2">
        <v>56.47</v>
      </c>
      <c r="L688" s="2">
        <v>35.25</v>
      </c>
      <c r="M688" s="2">
        <v>160.22</v>
      </c>
      <c r="N688" s="2">
        <v>103.75</v>
      </c>
      <c r="O688" s="2">
        <v>36.47</v>
      </c>
      <c r="P688" s="2">
        <v>35.25</v>
      </c>
    </row>
    <row r="689" spans="1:16" x14ac:dyDescent="0.25">
      <c r="A689" t="s">
        <v>15</v>
      </c>
      <c r="B689" t="s">
        <v>907</v>
      </c>
      <c r="C689" t="s">
        <v>58</v>
      </c>
      <c r="D689" t="s">
        <v>975</v>
      </c>
      <c r="E689" t="s">
        <v>19</v>
      </c>
      <c r="F689" t="s">
        <v>67</v>
      </c>
      <c r="G689" s="1">
        <f>45763</f>
        <v>45763</v>
      </c>
      <c r="H689" t="s">
        <v>56</v>
      </c>
      <c r="I689" s="2">
        <v>663.47</v>
      </c>
      <c r="J689" s="2">
        <v>450.27</v>
      </c>
      <c r="K689" s="2">
        <v>213.2</v>
      </c>
      <c r="L689" s="2">
        <v>32.130000000000003</v>
      </c>
      <c r="M689" s="2">
        <v>663.47</v>
      </c>
      <c r="N689" s="2">
        <v>448.92</v>
      </c>
      <c r="O689" s="2">
        <v>195.92</v>
      </c>
      <c r="P689" s="2">
        <v>32.340000000000003</v>
      </c>
    </row>
    <row r="690" spans="1:16" x14ac:dyDescent="0.25">
      <c r="A690" t="s">
        <v>15</v>
      </c>
      <c r="B690" t="s">
        <v>907</v>
      </c>
      <c r="C690" t="s">
        <v>58</v>
      </c>
      <c r="D690" t="s">
        <v>976</v>
      </c>
      <c r="E690" t="s">
        <v>19</v>
      </c>
      <c r="F690" t="s">
        <v>73</v>
      </c>
      <c r="G690" s="1">
        <f>45764</f>
        <v>45764</v>
      </c>
      <c r="H690" t="s">
        <v>56</v>
      </c>
      <c r="I690" s="2">
        <v>157</v>
      </c>
      <c r="J690" s="2">
        <v>62.65</v>
      </c>
      <c r="K690" s="2">
        <v>94.35</v>
      </c>
      <c r="L690" s="2">
        <v>60.1</v>
      </c>
      <c r="M690" s="2">
        <v>157</v>
      </c>
      <c r="N690" s="2">
        <v>62.65</v>
      </c>
      <c r="O690" s="2">
        <v>94.35</v>
      </c>
      <c r="P690" s="2">
        <v>60.1</v>
      </c>
    </row>
    <row r="691" spans="1:16" x14ac:dyDescent="0.25">
      <c r="A691" t="s">
        <v>15</v>
      </c>
      <c r="B691" t="s">
        <v>907</v>
      </c>
      <c r="C691" t="s">
        <v>58</v>
      </c>
      <c r="D691" t="s">
        <v>977</v>
      </c>
      <c r="E691" t="s">
        <v>19</v>
      </c>
      <c r="F691" t="s">
        <v>64</v>
      </c>
      <c r="G691" s="1">
        <f>45764</f>
        <v>45764</v>
      </c>
      <c r="H691" t="s">
        <v>56</v>
      </c>
      <c r="I691" s="2">
        <v>1366.2</v>
      </c>
      <c r="J691" s="2">
        <v>955.86</v>
      </c>
      <c r="K691" s="2">
        <v>410.34</v>
      </c>
      <c r="L691" s="2">
        <v>30.04</v>
      </c>
      <c r="M691" s="2">
        <v>1366.2</v>
      </c>
      <c r="N691" s="2">
        <v>929.28</v>
      </c>
      <c r="O691" s="2">
        <v>418.18</v>
      </c>
      <c r="P691" s="2">
        <v>31.98</v>
      </c>
    </row>
    <row r="692" spans="1:16" x14ac:dyDescent="0.25">
      <c r="A692" t="s">
        <v>15</v>
      </c>
      <c r="B692" t="s">
        <v>907</v>
      </c>
      <c r="C692" t="s">
        <v>58</v>
      </c>
      <c r="D692" t="s">
        <v>978</v>
      </c>
      <c r="E692" t="s">
        <v>19</v>
      </c>
      <c r="F692" t="s">
        <v>408</v>
      </c>
      <c r="G692" s="1">
        <f>45765</f>
        <v>45765</v>
      </c>
      <c r="H692" t="s">
        <v>56</v>
      </c>
      <c r="I692" s="2">
        <v>3053.5</v>
      </c>
      <c r="J692" s="2">
        <v>2442.8000000000002</v>
      </c>
      <c r="K692" s="2">
        <v>610.70000000000005</v>
      </c>
      <c r="L692" s="2">
        <v>20</v>
      </c>
      <c r="M692" s="2">
        <v>3053.5</v>
      </c>
      <c r="N692" s="2">
        <v>2442.8000000000002</v>
      </c>
      <c r="O692" s="2">
        <v>610.70000000000005</v>
      </c>
      <c r="P692" s="2">
        <v>20</v>
      </c>
    </row>
    <row r="693" spans="1:16" x14ac:dyDescent="0.25">
      <c r="A693" t="s">
        <v>15</v>
      </c>
      <c r="B693" t="s">
        <v>907</v>
      </c>
      <c r="C693" t="s">
        <v>58</v>
      </c>
      <c r="D693" t="s">
        <v>979</v>
      </c>
      <c r="E693" t="s">
        <v>19</v>
      </c>
      <c r="F693" t="s">
        <v>103</v>
      </c>
      <c r="G693" s="1">
        <f>45765</f>
        <v>45765</v>
      </c>
      <c r="H693" t="s">
        <v>56</v>
      </c>
      <c r="I693" s="2">
        <v>1024.2</v>
      </c>
      <c r="J693" s="2">
        <v>684.53</v>
      </c>
      <c r="K693" s="2">
        <v>339.67</v>
      </c>
      <c r="L693" s="2">
        <v>33.159999999999997</v>
      </c>
      <c r="M693" s="2">
        <v>1024.2</v>
      </c>
      <c r="N693" s="2">
        <v>671.22</v>
      </c>
      <c r="O693" s="2">
        <v>320.98</v>
      </c>
      <c r="P693" s="2">
        <v>34.46</v>
      </c>
    </row>
    <row r="694" spans="1:16" x14ac:dyDescent="0.25">
      <c r="A694" t="s">
        <v>15</v>
      </c>
      <c r="B694" t="s">
        <v>907</v>
      </c>
      <c r="C694" t="s">
        <v>58</v>
      </c>
      <c r="D694" t="s">
        <v>980</v>
      </c>
      <c r="E694" t="s">
        <v>19</v>
      </c>
      <c r="F694" t="s">
        <v>981</v>
      </c>
      <c r="G694" s="1">
        <f>45765</f>
        <v>45765</v>
      </c>
      <c r="H694" t="s">
        <v>56</v>
      </c>
      <c r="I694" s="2">
        <v>665.4</v>
      </c>
      <c r="J694" s="2">
        <v>318.39999999999998</v>
      </c>
      <c r="K694" s="2">
        <v>347</v>
      </c>
      <c r="L694" s="2">
        <v>52.15</v>
      </c>
      <c r="M694" s="2">
        <v>731.4</v>
      </c>
      <c r="N694" s="2">
        <v>346.4</v>
      </c>
      <c r="O694" s="2">
        <v>318</v>
      </c>
      <c r="P694" s="2">
        <v>52.64</v>
      </c>
    </row>
    <row r="695" spans="1:16" x14ac:dyDescent="0.25">
      <c r="A695" t="s">
        <v>15</v>
      </c>
      <c r="B695" t="s">
        <v>907</v>
      </c>
      <c r="C695" t="s">
        <v>58</v>
      </c>
      <c r="D695" t="s">
        <v>982</v>
      </c>
      <c r="E695" t="s">
        <v>19</v>
      </c>
      <c r="F695" t="s">
        <v>103</v>
      </c>
      <c r="G695" s="1">
        <f>45765</f>
        <v>45765</v>
      </c>
      <c r="H695" t="s">
        <v>56</v>
      </c>
      <c r="I695" s="2">
        <v>277.25</v>
      </c>
      <c r="J695" s="2">
        <v>110.77</v>
      </c>
      <c r="K695" s="2">
        <v>166.48</v>
      </c>
      <c r="L695" s="2">
        <v>60.05</v>
      </c>
      <c r="M695" s="2">
        <v>277.25</v>
      </c>
      <c r="N695" s="2">
        <v>110.77</v>
      </c>
      <c r="O695" s="2">
        <v>166.48</v>
      </c>
      <c r="P695" s="2">
        <v>60.05</v>
      </c>
    </row>
    <row r="696" spans="1:16" x14ac:dyDescent="0.25">
      <c r="A696" t="s">
        <v>15</v>
      </c>
      <c r="B696" t="s">
        <v>907</v>
      </c>
      <c r="C696" t="s">
        <v>58</v>
      </c>
      <c r="D696" t="s">
        <v>983</v>
      </c>
      <c r="E696" t="s">
        <v>19</v>
      </c>
      <c r="F696" t="s">
        <v>64</v>
      </c>
      <c r="G696" s="1">
        <f>45769</f>
        <v>45769</v>
      </c>
      <c r="H696" t="s">
        <v>56</v>
      </c>
      <c r="I696" s="2">
        <v>845</v>
      </c>
      <c r="J696" s="2">
        <v>591</v>
      </c>
      <c r="K696" s="2">
        <v>254</v>
      </c>
      <c r="L696" s="2">
        <v>30.06</v>
      </c>
      <c r="M696" s="2">
        <v>845</v>
      </c>
      <c r="N696" s="2">
        <v>591</v>
      </c>
      <c r="O696" s="2">
        <v>216</v>
      </c>
      <c r="P696" s="2">
        <v>30.06</v>
      </c>
    </row>
    <row r="697" spans="1:16" x14ac:dyDescent="0.25">
      <c r="A697" t="s">
        <v>15</v>
      </c>
      <c r="B697" t="s">
        <v>907</v>
      </c>
      <c r="C697" t="s">
        <v>58</v>
      </c>
      <c r="D697" t="s">
        <v>984</v>
      </c>
      <c r="E697" t="s">
        <v>19</v>
      </c>
      <c r="F697" t="s">
        <v>985</v>
      </c>
      <c r="G697" s="1">
        <f>45770</f>
        <v>45770</v>
      </c>
      <c r="H697" t="s">
        <v>56</v>
      </c>
      <c r="I697" s="2">
        <v>510.2</v>
      </c>
      <c r="J697" s="2">
        <v>332</v>
      </c>
      <c r="K697" s="2">
        <v>178.2</v>
      </c>
      <c r="L697" s="2">
        <v>34.93</v>
      </c>
      <c r="M697" s="2">
        <v>510.2</v>
      </c>
      <c r="N697" s="2">
        <v>332</v>
      </c>
      <c r="O697" s="2">
        <v>136.19999999999999</v>
      </c>
      <c r="P697" s="2">
        <v>34.93</v>
      </c>
    </row>
    <row r="698" spans="1:16" x14ac:dyDescent="0.25">
      <c r="A698" t="s">
        <v>15</v>
      </c>
      <c r="B698" t="s">
        <v>907</v>
      </c>
      <c r="C698" t="s">
        <v>58</v>
      </c>
      <c r="D698" t="s">
        <v>986</v>
      </c>
      <c r="E698" t="s">
        <v>19</v>
      </c>
      <c r="F698" t="s">
        <v>103</v>
      </c>
      <c r="G698" s="1">
        <f>45771</f>
        <v>45771</v>
      </c>
      <c r="H698" t="s">
        <v>56</v>
      </c>
      <c r="I698" s="2">
        <v>199.54</v>
      </c>
      <c r="J698" s="2">
        <v>97.77</v>
      </c>
      <c r="K698" s="2">
        <v>101.77</v>
      </c>
      <c r="L698" s="2">
        <v>51</v>
      </c>
      <c r="M698" s="2">
        <v>199.54</v>
      </c>
      <c r="N698" s="2">
        <v>97.77</v>
      </c>
      <c r="O698" s="2">
        <v>92.77</v>
      </c>
      <c r="P698" s="2">
        <v>51</v>
      </c>
    </row>
    <row r="699" spans="1:16" x14ac:dyDescent="0.25">
      <c r="A699" t="s">
        <v>15</v>
      </c>
      <c r="B699" t="s">
        <v>907</v>
      </c>
      <c r="C699" t="s">
        <v>58</v>
      </c>
      <c r="D699" t="s">
        <v>987</v>
      </c>
      <c r="E699" t="s">
        <v>19</v>
      </c>
      <c r="F699" t="s">
        <v>131</v>
      </c>
      <c r="G699" s="1">
        <f>45771</f>
        <v>45771</v>
      </c>
      <c r="H699" t="s">
        <v>56</v>
      </c>
      <c r="I699" s="2">
        <v>2072.88</v>
      </c>
      <c r="J699" s="2">
        <v>1389.92</v>
      </c>
      <c r="K699" s="2">
        <v>682.96</v>
      </c>
      <c r="L699" s="2">
        <v>32.950000000000003</v>
      </c>
      <c r="M699" s="2">
        <v>2072.88</v>
      </c>
      <c r="N699" s="2">
        <v>1361.79</v>
      </c>
      <c r="O699" s="2">
        <v>658.07</v>
      </c>
      <c r="P699" s="2">
        <v>34.299999999999997</v>
      </c>
    </row>
    <row r="700" spans="1:16" x14ac:dyDescent="0.25">
      <c r="A700" t="s">
        <v>15</v>
      </c>
      <c r="B700" t="s">
        <v>907</v>
      </c>
      <c r="C700" t="s">
        <v>58</v>
      </c>
      <c r="D700" t="s">
        <v>988</v>
      </c>
      <c r="E700" t="s">
        <v>19</v>
      </c>
      <c r="F700" t="s">
        <v>129</v>
      </c>
      <c r="G700" s="1">
        <f>45771</f>
        <v>45771</v>
      </c>
      <c r="H700" t="s">
        <v>56</v>
      </c>
      <c r="I700" s="2">
        <v>3081.1</v>
      </c>
      <c r="J700" s="2">
        <v>2187.5</v>
      </c>
      <c r="K700" s="2">
        <v>893.6</v>
      </c>
      <c r="L700" s="2">
        <v>29</v>
      </c>
      <c r="M700" s="2">
        <v>3081.1</v>
      </c>
      <c r="N700" s="2">
        <v>2187.5</v>
      </c>
      <c r="O700" s="2">
        <v>858.6</v>
      </c>
      <c r="P700" s="2">
        <v>29</v>
      </c>
    </row>
    <row r="701" spans="1:16" x14ac:dyDescent="0.25">
      <c r="A701" t="s">
        <v>15</v>
      </c>
      <c r="B701" t="s">
        <v>907</v>
      </c>
      <c r="C701" t="s">
        <v>58</v>
      </c>
      <c r="D701" t="s">
        <v>989</v>
      </c>
      <c r="E701" t="s">
        <v>19</v>
      </c>
      <c r="F701" t="s">
        <v>67</v>
      </c>
      <c r="G701" s="1">
        <f>45771</f>
        <v>45771</v>
      </c>
      <c r="H701" t="s">
        <v>56</v>
      </c>
      <c r="I701" s="2">
        <v>198.68</v>
      </c>
      <c r="J701" s="2">
        <v>141.46</v>
      </c>
      <c r="K701" s="2">
        <v>57.22</v>
      </c>
      <c r="L701" s="2">
        <v>28.8</v>
      </c>
      <c r="M701" s="2">
        <v>198.68</v>
      </c>
      <c r="N701" s="2">
        <v>138.81</v>
      </c>
      <c r="O701" s="2">
        <v>48.27</v>
      </c>
      <c r="P701" s="2">
        <v>30.13</v>
      </c>
    </row>
    <row r="702" spans="1:16" x14ac:dyDescent="0.25">
      <c r="A702" t="s">
        <v>15</v>
      </c>
      <c r="B702" t="s">
        <v>907</v>
      </c>
      <c r="C702" t="s">
        <v>58</v>
      </c>
      <c r="D702" t="s">
        <v>990</v>
      </c>
      <c r="E702" t="s">
        <v>19</v>
      </c>
      <c r="F702" t="s">
        <v>991</v>
      </c>
      <c r="G702" s="1">
        <f>45771</f>
        <v>45771</v>
      </c>
      <c r="H702" t="s">
        <v>56</v>
      </c>
      <c r="I702" s="2">
        <v>12996.8</v>
      </c>
      <c r="J702" s="2">
        <v>9361.86</v>
      </c>
      <c r="K702" s="2">
        <v>3634.94</v>
      </c>
      <c r="L702" s="2">
        <v>27.97</v>
      </c>
      <c r="M702" s="2">
        <v>12996.8</v>
      </c>
      <c r="N702" s="2">
        <v>9361.86</v>
      </c>
      <c r="O702" s="2">
        <v>3340.43</v>
      </c>
      <c r="P702" s="2">
        <v>27.97</v>
      </c>
    </row>
    <row r="703" spans="1:16" x14ac:dyDescent="0.25">
      <c r="A703" t="s">
        <v>15</v>
      </c>
      <c r="B703" t="s">
        <v>907</v>
      </c>
      <c r="C703" t="s">
        <v>58</v>
      </c>
      <c r="D703" t="s">
        <v>992</v>
      </c>
      <c r="E703" t="s">
        <v>47</v>
      </c>
      <c r="F703" t="s">
        <v>69</v>
      </c>
      <c r="G703" s="1">
        <f>45772</f>
        <v>45772</v>
      </c>
      <c r="H703" t="s">
        <v>84</v>
      </c>
      <c r="I703" s="2">
        <v>0</v>
      </c>
      <c r="J703" s="2">
        <v>0</v>
      </c>
      <c r="K703" s="2">
        <v>0</v>
      </c>
      <c r="L703" s="2">
        <v>0</v>
      </c>
      <c r="M703" s="2">
        <v>55.6</v>
      </c>
      <c r="N703" s="2">
        <v>47.57</v>
      </c>
      <c r="O703" s="2">
        <v>8.0299999999999994</v>
      </c>
      <c r="P703" s="2">
        <v>14.44</v>
      </c>
    </row>
    <row r="704" spans="1:16" x14ac:dyDescent="0.25">
      <c r="A704" t="s">
        <v>15</v>
      </c>
      <c r="B704" t="s">
        <v>907</v>
      </c>
      <c r="C704" t="s">
        <v>58</v>
      </c>
      <c r="D704" t="s">
        <v>993</v>
      </c>
      <c r="E704" t="s">
        <v>19</v>
      </c>
      <c r="F704" t="s">
        <v>131</v>
      </c>
      <c r="G704" s="1">
        <f>45772</f>
        <v>45772</v>
      </c>
      <c r="H704" t="s">
        <v>56</v>
      </c>
      <c r="I704" s="2">
        <v>2724.96</v>
      </c>
      <c r="J704" s="2">
        <v>1906.78</v>
      </c>
      <c r="K704" s="2">
        <v>818.18</v>
      </c>
      <c r="L704" s="2">
        <v>30.03</v>
      </c>
      <c r="M704" s="2">
        <v>2724.96</v>
      </c>
      <c r="N704" s="2">
        <v>1880.73</v>
      </c>
      <c r="O704" s="2">
        <v>806.84</v>
      </c>
      <c r="P704" s="2">
        <v>30.98</v>
      </c>
    </row>
    <row r="705" spans="1:16" x14ac:dyDescent="0.25">
      <c r="A705" t="s">
        <v>15</v>
      </c>
      <c r="B705" t="s">
        <v>907</v>
      </c>
      <c r="C705" t="s">
        <v>58</v>
      </c>
      <c r="D705" t="s">
        <v>994</v>
      </c>
      <c r="E705" t="s">
        <v>19</v>
      </c>
      <c r="F705" t="s">
        <v>995</v>
      </c>
      <c r="G705" s="1">
        <f>45775</f>
        <v>45775</v>
      </c>
      <c r="H705" t="s">
        <v>56</v>
      </c>
      <c r="I705" s="2">
        <v>196.6</v>
      </c>
      <c r="J705" s="2">
        <v>123</v>
      </c>
      <c r="K705" s="2">
        <v>73.599999999999994</v>
      </c>
      <c r="L705" s="2">
        <v>37.44</v>
      </c>
      <c r="M705" s="2">
        <v>196.6</v>
      </c>
      <c r="N705" s="2">
        <v>123</v>
      </c>
      <c r="O705" s="2">
        <v>64.599999999999994</v>
      </c>
      <c r="P705" s="2">
        <v>37.44</v>
      </c>
    </row>
    <row r="706" spans="1:16" x14ac:dyDescent="0.25">
      <c r="A706" t="s">
        <v>15</v>
      </c>
      <c r="B706" t="s">
        <v>907</v>
      </c>
      <c r="C706" t="s">
        <v>58</v>
      </c>
      <c r="D706" t="s">
        <v>996</v>
      </c>
      <c r="E706" t="s">
        <v>19</v>
      </c>
      <c r="F706" t="s">
        <v>60</v>
      </c>
      <c r="G706" s="1">
        <f>45775</f>
        <v>45775</v>
      </c>
      <c r="H706" t="s">
        <v>56</v>
      </c>
      <c r="I706" s="2">
        <v>4156.8</v>
      </c>
      <c r="J706" s="2">
        <v>2790.32</v>
      </c>
      <c r="K706" s="2">
        <v>1366.47</v>
      </c>
      <c r="L706" s="2">
        <v>32.869999999999997</v>
      </c>
      <c r="M706" s="2">
        <v>4156.8</v>
      </c>
      <c r="N706" s="2">
        <v>2790.32</v>
      </c>
      <c r="O706" s="2">
        <v>1338.48</v>
      </c>
      <c r="P706" s="2">
        <v>32.869999999999997</v>
      </c>
    </row>
    <row r="707" spans="1:16" x14ac:dyDescent="0.25">
      <c r="A707" t="s">
        <v>15</v>
      </c>
      <c r="B707" t="s">
        <v>907</v>
      </c>
      <c r="C707" t="s">
        <v>58</v>
      </c>
      <c r="D707" t="s">
        <v>997</v>
      </c>
      <c r="E707" t="s">
        <v>19</v>
      </c>
      <c r="F707" t="s">
        <v>705</v>
      </c>
      <c r="G707" s="1">
        <f>45775</f>
        <v>45775</v>
      </c>
      <c r="H707" t="s">
        <v>56</v>
      </c>
      <c r="I707" s="2">
        <v>222.53</v>
      </c>
      <c r="J707" s="2">
        <v>145.94</v>
      </c>
      <c r="K707" s="2">
        <v>76.59</v>
      </c>
      <c r="L707" s="2">
        <v>34.42</v>
      </c>
      <c r="M707" s="2">
        <v>222.53</v>
      </c>
      <c r="N707" s="2">
        <v>145.94</v>
      </c>
      <c r="O707" s="2">
        <v>75.290000000000006</v>
      </c>
      <c r="P707" s="2">
        <v>34.42</v>
      </c>
    </row>
    <row r="708" spans="1:16" x14ac:dyDescent="0.25">
      <c r="A708" t="s">
        <v>15</v>
      </c>
      <c r="B708" t="s">
        <v>907</v>
      </c>
      <c r="C708" t="s">
        <v>58</v>
      </c>
      <c r="D708" t="s">
        <v>998</v>
      </c>
      <c r="E708" t="s">
        <v>19</v>
      </c>
      <c r="F708" t="s">
        <v>131</v>
      </c>
      <c r="G708" s="1">
        <f>45775</f>
        <v>45775</v>
      </c>
      <c r="H708" t="s">
        <v>56</v>
      </c>
      <c r="I708" s="2">
        <v>1855.94</v>
      </c>
      <c r="J708" s="2">
        <v>926.77</v>
      </c>
      <c r="K708" s="2">
        <v>929.17</v>
      </c>
      <c r="L708" s="2">
        <v>50.06</v>
      </c>
      <c r="M708" s="2">
        <v>1855.94</v>
      </c>
      <c r="N708" s="2">
        <v>927.97</v>
      </c>
      <c r="O708" s="2">
        <v>927.97</v>
      </c>
      <c r="P708" s="2">
        <v>50</v>
      </c>
    </row>
    <row r="709" spans="1:16" x14ac:dyDescent="0.25">
      <c r="A709" t="s">
        <v>15</v>
      </c>
      <c r="B709" t="s">
        <v>907</v>
      </c>
      <c r="C709" t="s">
        <v>58</v>
      </c>
      <c r="D709" t="s">
        <v>999</v>
      </c>
      <c r="E709" t="s">
        <v>19</v>
      </c>
      <c r="F709" t="s">
        <v>89</v>
      </c>
      <c r="G709" s="1">
        <f>45776</f>
        <v>45776</v>
      </c>
      <c r="H709" t="s">
        <v>56</v>
      </c>
      <c r="I709" s="2">
        <v>884</v>
      </c>
      <c r="J709" s="2">
        <v>385.1</v>
      </c>
      <c r="K709" s="2">
        <v>498.9</v>
      </c>
      <c r="L709" s="2">
        <v>56.44</v>
      </c>
      <c r="M709" s="2">
        <v>884</v>
      </c>
      <c r="N709" s="2">
        <v>588.53</v>
      </c>
      <c r="O709" s="2">
        <v>291.11</v>
      </c>
      <c r="P709" s="2">
        <v>33.42</v>
      </c>
    </row>
    <row r="710" spans="1:16" x14ac:dyDescent="0.25">
      <c r="A710" t="s">
        <v>15</v>
      </c>
      <c r="B710" t="s">
        <v>907</v>
      </c>
      <c r="C710" t="s">
        <v>58</v>
      </c>
      <c r="D710" t="s">
        <v>1000</v>
      </c>
      <c r="E710" t="s">
        <v>19</v>
      </c>
      <c r="F710" t="s">
        <v>73</v>
      </c>
      <c r="G710" s="1">
        <f>45776</f>
        <v>45776</v>
      </c>
      <c r="H710" t="s">
        <v>56</v>
      </c>
      <c r="I710" s="2">
        <v>198</v>
      </c>
      <c r="J710" s="2">
        <v>78.75</v>
      </c>
      <c r="K710" s="2">
        <v>119.25</v>
      </c>
      <c r="L710" s="2">
        <v>60.23</v>
      </c>
      <c r="M710" s="2">
        <v>198</v>
      </c>
      <c r="N710" s="2">
        <v>78.75</v>
      </c>
      <c r="O710" s="2">
        <v>119.25</v>
      </c>
      <c r="P710" s="2">
        <v>60.23</v>
      </c>
    </row>
    <row r="711" spans="1:16" x14ac:dyDescent="0.25">
      <c r="A711" t="s">
        <v>15</v>
      </c>
      <c r="B711" t="s">
        <v>907</v>
      </c>
      <c r="C711" t="s">
        <v>58</v>
      </c>
      <c r="D711" t="s">
        <v>1001</v>
      </c>
      <c r="E711" t="s">
        <v>19</v>
      </c>
      <c r="F711" t="s">
        <v>146</v>
      </c>
      <c r="G711" s="1">
        <f>45776</f>
        <v>45776</v>
      </c>
      <c r="H711" t="s">
        <v>56</v>
      </c>
      <c r="I711" s="2">
        <v>2994.9</v>
      </c>
      <c r="J711" s="2">
        <v>2207.9</v>
      </c>
      <c r="K711" s="2">
        <v>787</v>
      </c>
      <c r="L711" s="2">
        <v>26.28</v>
      </c>
      <c r="M711" s="2">
        <v>2994.9</v>
      </c>
      <c r="N711" s="2">
        <v>2207.9</v>
      </c>
      <c r="O711" s="2">
        <v>787</v>
      </c>
      <c r="P711" s="2">
        <v>26.28</v>
      </c>
    </row>
    <row r="712" spans="1:16" x14ac:dyDescent="0.25">
      <c r="A712" t="s">
        <v>15</v>
      </c>
      <c r="B712" t="s">
        <v>907</v>
      </c>
      <c r="C712" t="s">
        <v>58</v>
      </c>
      <c r="D712" t="s">
        <v>1002</v>
      </c>
      <c r="E712" t="s">
        <v>19</v>
      </c>
      <c r="F712" t="s">
        <v>141</v>
      </c>
      <c r="G712" s="1">
        <f>45777</f>
        <v>45777</v>
      </c>
      <c r="H712" t="s">
        <v>56</v>
      </c>
      <c r="I712" s="2">
        <v>189.8</v>
      </c>
      <c r="J712" s="2">
        <v>48.96</v>
      </c>
      <c r="K712" s="2">
        <v>140.84</v>
      </c>
      <c r="L712" s="2">
        <v>74.2</v>
      </c>
      <c r="M712" s="2">
        <v>189.8</v>
      </c>
      <c r="N712" s="2">
        <v>87.35</v>
      </c>
      <c r="O712" s="2">
        <v>102.45</v>
      </c>
      <c r="P712" s="2">
        <v>53.98</v>
      </c>
    </row>
    <row r="713" spans="1:16" x14ac:dyDescent="0.25">
      <c r="A713" t="s">
        <v>15</v>
      </c>
      <c r="B713" t="s">
        <v>907</v>
      </c>
      <c r="C713" t="s">
        <v>58</v>
      </c>
      <c r="D713" t="s">
        <v>1003</v>
      </c>
      <c r="E713" t="s">
        <v>19</v>
      </c>
      <c r="F713" t="s">
        <v>64</v>
      </c>
      <c r="G713" s="1">
        <f>45777</f>
        <v>45777</v>
      </c>
      <c r="H713" t="s">
        <v>56</v>
      </c>
      <c r="I713" s="2">
        <v>692.16</v>
      </c>
      <c r="J713" s="2">
        <v>484.5</v>
      </c>
      <c r="K713" s="2">
        <v>207.66</v>
      </c>
      <c r="L713" s="2">
        <v>30</v>
      </c>
      <c r="M713" s="2">
        <v>692.16</v>
      </c>
      <c r="N713" s="2">
        <v>484.5</v>
      </c>
      <c r="O713" s="2">
        <v>207.66</v>
      </c>
      <c r="P713" s="2">
        <v>30</v>
      </c>
    </row>
    <row r="714" spans="1:16" x14ac:dyDescent="0.25">
      <c r="A714" t="s">
        <v>15</v>
      </c>
      <c r="B714" t="s">
        <v>907</v>
      </c>
      <c r="C714" t="s">
        <v>58</v>
      </c>
      <c r="D714" t="s">
        <v>1004</v>
      </c>
      <c r="E714" t="s">
        <v>19</v>
      </c>
      <c r="F714" t="s">
        <v>705</v>
      </c>
      <c r="G714" s="1">
        <f>45748</f>
        <v>45748</v>
      </c>
      <c r="H714" t="s">
        <v>51</v>
      </c>
      <c r="I714" s="2">
        <v>3055.4</v>
      </c>
      <c r="J714" s="2">
        <v>1836.69</v>
      </c>
      <c r="K714" s="2">
        <v>1218.71</v>
      </c>
      <c r="L714" s="2">
        <v>39.89</v>
      </c>
      <c r="M714" s="2">
        <v>3055.4</v>
      </c>
      <c r="N714" s="2">
        <v>1845.24</v>
      </c>
      <c r="O714" s="2">
        <v>1168.1600000000001</v>
      </c>
      <c r="P714" s="2">
        <v>39.61</v>
      </c>
    </row>
    <row r="715" spans="1:16" x14ac:dyDescent="0.25">
      <c r="A715" t="s">
        <v>15</v>
      </c>
      <c r="B715" t="s">
        <v>907</v>
      </c>
      <c r="C715" t="s">
        <v>187</v>
      </c>
      <c r="D715" t="s">
        <v>1005</v>
      </c>
      <c r="E715" t="s">
        <v>19</v>
      </c>
      <c r="F715" t="s">
        <v>1006</v>
      </c>
      <c r="G715" s="1">
        <f>45748</f>
        <v>45748</v>
      </c>
      <c r="H715" t="s">
        <v>51</v>
      </c>
      <c r="I715" s="2">
        <v>461.8</v>
      </c>
      <c r="J715" s="2">
        <v>366.25</v>
      </c>
      <c r="K715" s="2">
        <v>95.55</v>
      </c>
      <c r="L715" s="2">
        <v>20.69</v>
      </c>
      <c r="M715" s="2">
        <v>461.8</v>
      </c>
      <c r="N715" s="2">
        <v>366.25</v>
      </c>
      <c r="O715" s="2">
        <v>-14.45</v>
      </c>
      <c r="P715" s="2">
        <v>20.69</v>
      </c>
    </row>
    <row r="716" spans="1:16" x14ac:dyDescent="0.25">
      <c r="A716" t="s">
        <v>15</v>
      </c>
      <c r="B716" t="s">
        <v>907</v>
      </c>
      <c r="C716" t="s">
        <v>187</v>
      </c>
      <c r="D716" t="s">
        <v>1007</v>
      </c>
      <c r="E716" t="s">
        <v>19</v>
      </c>
      <c r="F716" t="s">
        <v>191</v>
      </c>
      <c r="G716" s="1">
        <f>45749</f>
        <v>45749</v>
      </c>
      <c r="H716" t="s">
        <v>51</v>
      </c>
      <c r="I716" s="2">
        <v>236.31</v>
      </c>
      <c r="J716" s="2">
        <v>145.74</v>
      </c>
      <c r="K716" s="2">
        <v>90.57</v>
      </c>
      <c r="L716" s="2">
        <v>38.33</v>
      </c>
      <c r="M716" s="2">
        <v>236.31</v>
      </c>
      <c r="N716" s="2">
        <v>145.74</v>
      </c>
      <c r="O716" s="2">
        <v>61.57</v>
      </c>
      <c r="P716" s="2">
        <v>38.33</v>
      </c>
    </row>
    <row r="717" spans="1:16" x14ac:dyDescent="0.25">
      <c r="A717" t="s">
        <v>15</v>
      </c>
      <c r="B717" t="s">
        <v>907</v>
      </c>
      <c r="C717" t="s">
        <v>187</v>
      </c>
      <c r="D717" t="s">
        <v>1008</v>
      </c>
      <c r="E717" t="s">
        <v>19</v>
      </c>
      <c r="F717" t="s">
        <v>1009</v>
      </c>
      <c r="G717" s="1">
        <f>45751</f>
        <v>45751</v>
      </c>
      <c r="H717" t="s">
        <v>51</v>
      </c>
      <c r="I717" s="2">
        <v>347.1</v>
      </c>
      <c r="J717" s="2">
        <v>241</v>
      </c>
      <c r="K717" s="2">
        <v>106.1</v>
      </c>
      <c r="L717" s="2">
        <v>30.57</v>
      </c>
      <c r="M717" s="2">
        <v>347.1</v>
      </c>
      <c r="N717" s="2">
        <v>241</v>
      </c>
      <c r="O717" s="2">
        <v>75.099999999999994</v>
      </c>
      <c r="P717" s="2">
        <v>30.57</v>
      </c>
    </row>
    <row r="718" spans="1:16" x14ac:dyDescent="0.25">
      <c r="A718" t="s">
        <v>15</v>
      </c>
      <c r="B718" t="s">
        <v>907</v>
      </c>
      <c r="C718" t="s">
        <v>187</v>
      </c>
      <c r="D718" t="s">
        <v>1010</v>
      </c>
      <c r="E718" t="s">
        <v>19</v>
      </c>
      <c r="F718" t="s">
        <v>507</v>
      </c>
      <c r="G718" s="1">
        <f>45751</f>
        <v>45751</v>
      </c>
      <c r="H718" t="s">
        <v>51</v>
      </c>
      <c r="I718" s="2">
        <v>815.5</v>
      </c>
      <c r="J718" s="2">
        <v>467.5</v>
      </c>
      <c r="K718" s="2">
        <v>348</v>
      </c>
      <c r="L718" s="2">
        <v>42.67</v>
      </c>
      <c r="M718" s="2">
        <v>815.5</v>
      </c>
      <c r="N718" s="2">
        <v>467.5</v>
      </c>
      <c r="O718" s="2">
        <v>323</v>
      </c>
      <c r="P718" s="2">
        <v>42.67</v>
      </c>
    </row>
    <row r="719" spans="1:16" x14ac:dyDescent="0.25">
      <c r="A719" t="s">
        <v>15</v>
      </c>
      <c r="B719" t="s">
        <v>907</v>
      </c>
      <c r="C719" t="s">
        <v>187</v>
      </c>
      <c r="D719" t="s">
        <v>1011</v>
      </c>
      <c r="E719" t="s">
        <v>19</v>
      </c>
      <c r="F719" t="s">
        <v>191</v>
      </c>
      <c r="G719" s="1">
        <f>45754</f>
        <v>45754</v>
      </c>
      <c r="H719" t="s">
        <v>51</v>
      </c>
      <c r="I719" s="2">
        <v>3262.3</v>
      </c>
      <c r="J719" s="2">
        <v>2258.37</v>
      </c>
      <c r="K719" s="2">
        <v>1003.93</v>
      </c>
      <c r="L719" s="2">
        <v>30.77</v>
      </c>
      <c r="M719" s="2">
        <v>3262.3</v>
      </c>
      <c r="N719" s="2">
        <v>2258.37</v>
      </c>
      <c r="O719" s="2">
        <v>963.93</v>
      </c>
      <c r="P719" s="2">
        <v>30.77</v>
      </c>
    </row>
    <row r="720" spans="1:16" x14ac:dyDescent="0.25">
      <c r="A720" t="s">
        <v>15</v>
      </c>
      <c r="B720" t="s">
        <v>907</v>
      </c>
      <c r="C720" t="s">
        <v>187</v>
      </c>
      <c r="D720" t="s">
        <v>1012</v>
      </c>
      <c r="E720" t="s">
        <v>19</v>
      </c>
      <c r="F720" t="s">
        <v>789</v>
      </c>
      <c r="G720" s="1">
        <f>45754</f>
        <v>45754</v>
      </c>
      <c r="H720" t="s">
        <v>51</v>
      </c>
      <c r="I720" s="2">
        <v>4146.58</v>
      </c>
      <c r="J720" s="2">
        <v>2996.2</v>
      </c>
      <c r="K720" s="2">
        <v>1150.3800000000001</v>
      </c>
      <c r="L720" s="2">
        <v>27.74</v>
      </c>
      <c r="M720" s="2">
        <v>4146.58</v>
      </c>
      <c r="N720" s="2">
        <v>2996.2</v>
      </c>
      <c r="O720" s="2">
        <v>1090.3800000000001</v>
      </c>
      <c r="P720" s="2">
        <v>27.74</v>
      </c>
    </row>
    <row r="721" spans="1:16" x14ac:dyDescent="0.25">
      <c r="A721" t="s">
        <v>15</v>
      </c>
      <c r="B721" t="s">
        <v>907</v>
      </c>
      <c r="C721" t="s">
        <v>187</v>
      </c>
      <c r="D721" t="s">
        <v>1013</v>
      </c>
      <c r="E721" t="s">
        <v>19</v>
      </c>
      <c r="F721" t="s">
        <v>1014</v>
      </c>
      <c r="G721" s="1">
        <f>45754</f>
        <v>45754</v>
      </c>
      <c r="H721" t="s">
        <v>51</v>
      </c>
      <c r="I721" s="2">
        <v>685.28</v>
      </c>
      <c r="J721" s="2">
        <v>433.1</v>
      </c>
      <c r="K721" s="2">
        <v>252.18</v>
      </c>
      <c r="L721" s="2">
        <v>36.799999999999997</v>
      </c>
      <c r="M721" s="2">
        <v>685.28</v>
      </c>
      <c r="N721" s="2">
        <v>433.1</v>
      </c>
      <c r="O721" s="2">
        <v>234.68</v>
      </c>
      <c r="P721" s="2">
        <v>36.799999999999997</v>
      </c>
    </row>
    <row r="722" spans="1:16" x14ac:dyDescent="0.25">
      <c r="A722" t="s">
        <v>15</v>
      </c>
      <c r="B722" t="s">
        <v>907</v>
      </c>
      <c r="C722" t="s">
        <v>187</v>
      </c>
      <c r="D722" t="s">
        <v>1015</v>
      </c>
      <c r="E722" t="s">
        <v>19</v>
      </c>
      <c r="F722" t="s">
        <v>193</v>
      </c>
      <c r="G722" s="1">
        <f>45754</f>
        <v>45754</v>
      </c>
      <c r="H722" t="s">
        <v>51</v>
      </c>
      <c r="I722" s="2">
        <v>498.3</v>
      </c>
      <c r="J722" s="2">
        <v>339.03</v>
      </c>
      <c r="K722" s="2">
        <v>159.27000000000001</v>
      </c>
      <c r="L722" s="2">
        <v>31.96</v>
      </c>
      <c r="M722" s="2">
        <v>498.3</v>
      </c>
      <c r="N722" s="2">
        <v>339.03</v>
      </c>
      <c r="O722" s="2">
        <v>159.27000000000001</v>
      </c>
      <c r="P722" s="2">
        <v>31.96</v>
      </c>
    </row>
    <row r="723" spans="1:16" x14ac:dyDescent="0.25">
      <c r="A723" t="s">
        <v>15</v>
      </c>
      <c r="B723" t="s">
        <v>907</v>
      </c>
      <c r="C723" t="s">
        <v>187</v>
      </c>
      <c r="D723" t="s">
        <v>1016</v>
      </c>
      <c r="E723" t="s">
        <v>19</v>
      </c>
      <c r="F723" t="s">
        <v>219</v>
      </c>
      <c r="G723" s="1">
        <f>45754</f>
        <v>45754</v>
      </c>
      <c r="H723" t="s">
        <v>51</v>
      </c>
      <c r="I723" s="2">
        <v>506.1</v>
      </c>
      <c r="J723" s="2">
        <v>338.05</v>
      </c>
      <c r="K723" s="2">
        <v>168.05</v>
      </c>
      <c r="L723" s="2">
        <v>33.200000000000003</v>
      </c>
      <c r="M723" s="2">
        <v>506.1</v>
      </c>
      <c r="N723" s="2">
        <v>338.05</v>
      </c>
      <c r="O723" s="2">
        <v>152.6</v>
      </c>
      <c r="P723" s="2">
        <v>33.200000000000003</v>
      </c>
    </row>
    <row r="724" spans="1:16" x14ac:dyDescent="0.25">
      <c r="A724" t="s">
        <v>15</v>
      </c>
      <c r="B724" t="s">
        <v>907</v>
      </c>
      <c r="C724" t="s">
        <v>187</v>
      </c>
      <c r="D724" t="s">
        <v>1017</v>
      </c>
      <c r="E724" t="s">
        <v>19</v>
      </c>
      <c r="F724" t="s">
        <v>1018</v>
      </c>
      <c r="G724" s="1">
        <f>45755</f>
        <v>45755</v>
      </c>
      <c r="H724" t="s">
        <v>51</v>
      </c>
      <c r="I724" s="2">
        <v>868</v>
      </c>
      <c r="J724" s="2">
        <v>573.29999999999995</v>
      </c>
      <c r="K724" s="2">
        <v>294.7</v>
      </c>
      <c r="L724" s="2">
        <v>33.950000000000003</v>
      </c>
      <c r="M724" s="2">
        <v>868</v>
      </c>
      <c r="N724" s="2">
        <v>573.29999999999995</v>
      </c>
      <c r="O724" s="2">
        <v>279.7</v>
      </c>
      <c r="P724" s="2">
        <v>33.950000000000003</v>
      </c>
    </row>
    <row r="725" spans="1:16" x14ac:dyDescent="0.25">
      <c r="A725" t="s">
        <v>15</v>
      </c>
      <c r="B725" t="s">
        <v>907</v>
      </c>
      <c r="C725" t="s">
        <v>187</v>
      </c>
      <c r="D725" t="s">
        <v>1019</v>
      </c>
      <c r="E725" t="s">
        <v>19</v>
      </c>
      <c r="F725" t="s">
        <v>1020</v>
      </c>
      <c r="G725" s="1">
        <f>45756</f>
        <v>45756</v>
      </c>
      <c r="H725" t="s">
        <v>51</v>
      </c>
      <c r="I725" s="2">
        <v>832</v>
      </c>
      <c r="J725" s="2">
        <v>598.02</v>
      </c>
      <c r="K725" s="2">
        <v>233.98</v>
      </c>
      <c r="L725" s="2">
        <v>28.12</v>
      </c>
      <c r="M725" s="2">
        <v>832</v>
      </c>
      <c r="N725" s="2">
        <v>598.02</v>
      </c>
      <c r="O725" s="2">
        <v>198.98</v>
      </c>
      <c r="P725" s="2">
        <v>28.12</v>
      </c>
    </row>
    <row r="726" spans="1:16" x14ac:dyDescent="0.25">
      <c r="A726" t="s">
        <v>15</v>
      </c>
      <c r="B726" t="s">
        <v>907</v>
      </c>
      <c r="C726" t="s">
        <v>187</v>
      </c>
      <c r="D726" t="s">
        <v>1021</v>
      </c>
      <c r="E726" t="s">
        <v>19</v>
      </c>
      <c r="F726" t="s">
        <v>189</v>
      </c>
      <c r="G726" s="1">
        <f>45757</f>
        <v>45757</v>
      </c>
      <c r="H726" t="s">
        <v>51</v>
      </c>
      <c r="I726" s="2">
        <v>973.84</v>
      </c>
      <c r="J726" s="2">
        <v>610.59</v>
      </c>
      <c r="K726" s="2">
        <v>363.25</v>
      </c>
      <c r="L726" s="2">
        <v>37.299999999999997</v>
      </c>
      <c r="M726" s="2">
        <v>973.84</v>
      </c>
      <c r="N726" s="2">
        <v>610.59</v>
      </c>
      <c r="O726" s="2">
        <v>354.25</v>
      </c>
      <c r="P726" s="2">
        <v>37.299999999999997</v>
      </c>
    </row>
    <row r="727" spans="1:16" x14ac:dyDescent="0.25">
      <c r="A727" t="s">
        <v>15</v>
      </c>
      <c r="B727" t="s">
        <v>907</v>
      </c>
      <c r="C727" t="s">
        <v>187</v>
      </c>
      <c r="D727" t="s">
        <v>1022</v>
      </c>
      <c r="E727" t="s">
        <v>19</v>
      </c>
      <c r="F727" t="s">
        <v>213</v>
      </c>
      <c r="G727" s="1">
        <f>45757</f>
        <v>45757</v>
      </c>
      <c r="H727" t="s">
        <v>51</v>
      </c>
      <c r="I727" s="2">
        <v>250.6</v>
      </c>
      <c r="J727" s="2">
        <v>163.30000000000001</v>
      </c>
      <c r="K727" s="2">
        <v>87.3</v>
      </c>
      <c r="L727" s="2">
        <v>34.840000000000003</v>
      </c>
      <c r="M727" s="2">
        <v>250.6</v>
      </c>
      <c r="N727" s="2">
        <v>163.30000000000001</v>
      </c>
      <c r="O727" s="2">
        <v>77.3</v>
      </c>
      <c r="P727" s="2">
        <v>34.840000000000003</v>
      </c>
    </row>
    <row r="728" spans="1:16" x14ac:dyDescent="0.25">
      <c r="A728" t="s">
        <v>15</v>
      </c>
      <c r="B728" t="s">
        <v>907</v>
      </c>
      <c r="C728" t="s">
        <v>187</v>
      </c>
      <c r="D728" t="s">
        <v>1023</v>
      </c>
      <c r="E728" t="s">
        <v>19</v>
      </c>
      <c r="F728" t="s">
        <v>816</v>
      </c>
      <c r="G728" s="1">
        <f>45757</f>
        <v>45757</v>
      </c>
      <c r="H728" t="s">
        <v>51</v>
      </c>
      <c r="I728" s="2">
        <v>1197.5</v>
      </c>
      <c r="J728" s="2">
        <v>847</v>
      </c>
      <c r="K728" s="2">
        <v>350.5</v>
      </c>
      <c r="L728" s="2">
        <v>29.27</v>
      </c>
      <c r="M728" s="2">
        <v>1197.5</v>
      </c>
      <c r="N728" s="2">
        <v>847</v>
      </c>
      <c r="O728" s="2">
        <v>340.5</v>
      </c>
      <c r="P728" s="2">
        <v>29.27</v>
      </c>
    </row>
    <row r="729" spans="1:16" x14ac:dyDescent="0.25">
      <c r="A729" t="s">
        <v>15</v>
      </c>
      <c r="B729" t="s">
        <v>907</v>
      </c>
      <c r="C729" t="s">
        <v>187</v>
      </c>
      <c r="D729" t="s">
        <v>1024</v>
      </c>
      <c r="E729" t="s">
        <v>19</v>
      </c>
      <c r="F729" t="s">
        <v>501</v>
      </c>
      <c r="G729" s="1">
        <f>45758</f>
        <v>45758</v>
      </c>
      <c r="H729" t="s">
        <v>51</v>
      </c>
      <c r="I729" s="2">
        <v>899</v>
      </c>
      <c r="J729" s="2">
        <v>667.02</v>
      </c>
      <c r="K729" s="2">
        <v>231.98</v>
      </c>
      <c r="L729" s="2">
        <v>25.8</v>
      </c>
      <c r="M729" s="2">
        <v>899</v>
      </c>
      <c r="N729" s="2">
        <v>667.02</v>
      </c>
      <c r="O729" s="2">
        <v>181.98</v>
      </c>
      <c r="P729" s="2">
        <v>25.8</v>
      </c>
    </row>
    <row r="730" spans="1:16" x14ac:dyDescent="0.25">
      <c r="A730" t="s">
        <v>15</v>
      </c>
      <c r="B730" t="s">
        <v>907</v>
      </c>
      <c r="C730" t="s">
        <v>187</v>
      </c>
      <c r="D730" t="s">
        <v>1025</v>
      </c>
      <c r="E730" t="s">
        <v>19</v>
      </c>
      <c r="F730" t="s">
        <v>248</v>
      </c>
      <c r="G730" s="1">
        <f>45758</f>
        <v>45758</v>
      </c>
      <c r="H730" t="s">
        <v>51</v>
      </c>
      <c r="I730" s="2">
        <v>220</v>
      </c>
      <c r="J730" s="2">
        <v>132</v>
      </c>
      <c r="K730" s="2">
        <v>88</v>
      </c>
      <c r="L730" s="2">
        <v>40</v>
      </c>
      <c r="M730" s="2">
        <v>220</v>
      </c>
      <c r="N730" s="2">
        <v>132</v>
      </c>
      <c r="O730" s="2">
        <v>28</v>
      </c>
      <c r="P730" s="2">
        <v>40</v>
      </c>
    </row>
    <row r="731" spans="1:16" x14ac:dyDescent="0.25">
      <c r="A731" t="s">
        <v>15</v>
      </c>
      <c r="B731" t="s">
        <v>907</v>
      </c>
      <c r="C731" t="s">
        <v>187</v>
      </c>
      <c r="D731" t="s">
        <v>1026</v>
      </c>
      <c r="E731" t="s">
        <v>19</v>
      </c>
      <c r="F731" t="s">
        <v>200</v>
      </c>
      <c r="G731" s="1">
        <f>45761</f>
        <v>45761</v>
      </c>
      <c r="H731" t="s">
        <v>51</v>
      </c>
      <c r="I731" s="2">
        <v>1937</v>
      </c>
      <c r="J731" s="2">
        <v>1279</v>
      </c>
      <c r="K731" s="2">
        <v>658</v>
      </c>
      <c r="L731" s="2">
        <v>33.97</v>
      </c>
      <c r="M731" s="2">
        <v>1937</v>
      </c>
      <c r="N731" s="2">
        <v>1279</v>
      </c>
      <c r="O731" s="2">
        <v>623</v>
      </c>
      <c r="P731" s="2">
        <v>33.97</v>
      </c>
    </row>
    <row r="732" spans="1:16" x14ac:dyDescent="0.25">
      <c r="A732" t="s">
        <v>15</v>
      </c>
      <c r="B732" t="s">
        <v>907</v>
      </c>
      <c r="C732" t="s">
        <v>187</v>
      </c>
      <c r="D732" t="s">
        <v>1027</v>
      </c>
      <c r="E732" t="s">
        <v>19</v>
      </c>
      <c r="F732" t="s">
        <v>1028</v>
      </c>
      <c r="G732" s="1">
        <f>45762</f>
        <v>45762</v>
      </c>
      <c r="H732" t="s">
        <v>51</v>
      </c>
      <c r="I732" s="2">
        <v>1285.99</v>
      </c>
      <c r="J732" s="2">
        <v>852.31</v>
      </c>
      <c r="K732" s="2">
        <v>433.68</v>
      </c>
      <c r="L732" s="2">
        <v>33.72</v>
      </c>
      <c r="M732" s="2">
        <v>1285.99</v>
      </c>
      <c r="N732" s="2">
        <v>852.31</v>
      </c>
      <c r="O732" s="2">
        <v>424.68</v>
      </c>
      <c r="P732" s="2">
        <v>33.72</v>
      </c>
    </row>
    <row r="733" spans="1:16" x14ac:dyDescent="0.25">
      <c r="A733" t="s">
        <v>15</v>
      </c>
      <c r="B733" t="s">
        <v>907</v>
      </c>
      <c r="C733" t="s">
        <v>187</v>
      </c>
      <c r="D733" t="s">
        <v>1029</v>
      </c>
      <c r="E733" t="s">
        <v>19</v>
      </c>
      <c r="F733" t="s">
        <v>217</v>
      </c>
      <c r="G733" s="1">
        <f>45762</f>
        <v>45762</v>
      </c>
      <c r="H733" t="s">
        <v>51</v>
      </c>
      <c r="I733" s="2">
        <v>1547.9</v>
      </c>
      <c r="J733" s="2">
        <v>937.35</v>
      </c>
      <c r="K733" s="2">
        <v>610.54999999999995</v>
      </c>
      <c r="L733" s="2">
        <v>39.44</v>
      </c>
      <c r="M733" s="2">
        <v>1547.9</v>
      </c>
      <c r="N733" s="2">
        <v>1073.8499999999999</v>
      </c>
      <c r="O733" s="2">
        <v>459.05</v>
      </c>
      <c r="P733" s="2">
        <v>30.63</v>
      </c>
    </row>
    <row r="734" spans="1:16" x14ac:dyDescent="0.25">
      <c r="A734" t="s">
        <v>15</v>
      </c>
      <c r="B734" t="s">
        <v>907</v>
      </c>
      <c r="C734" t="s">
        <v>187</v>
      </c>
      <c r="D734" t="s">
        <v>1030</v>
      </c>
      <c r="E734" t="s">
        <v>19</v>
      </c>
      <c r="F734" t="s">
        <v>213</v>
      </c>
      <c r="G734" s="1">
        <f>45763</f>
        <v>45763</v>
      </c>
      <c r="H734" t="s">
        <v>51</v>
      </c>
      <c r="I734" s="2">
        <v>908.7</v>
      </c>
      <c r="J734" s="2">
        <v>623.57000000000005</v>
      </c>
      <c r="K734" s="2">
        <v>285.13</v>
      </c>
      <c r="L734" s="2">
        <v>31.38</v>
      </c>
      <c r="M734" s="2">
        <v>908.7</v>
      </c>
      <c r="N734" s="2">
        <v>623.57000000000005</v>
      </c>
      <c r="O734" s="2">
        <v>285.13</v>
      </c>
      <c r="P734" s="2">
        <v>31.38</v>
      </c>
    </row>
    <row r="735" spans="1:16" x14ac:dyDescent="0.25">
      <c r="A735" t="s">
        <v>15</v>
      </c>
      <c r="B735" t="s">
        <v>907</v>
      </c>
      <c r="C735" t="s">
        <v>187</v>
      </c>
      <c r="D735" t="s">
        <v>1031</v>
      </c>
      <c r="E735" t="s">
        <v>19</v>
      </c>
      <c r="F735" t="s">
        <v>215</v>
      </c>
      <c r="G735" s="1">
        <f>45764</f>
        <v>45764</v>
      </c>
      <c r="H735" t="s">
        <v>51</v>
      </c>
      <c r="I735" s="2">
        <v>436</v>
      </c>
      <c r="J735" s="2">
        <v>287.27999999999997</v>
      </c>
      <c r="K735" s="2">
        <v>148.72</v>
      </c>
      <c r="L735" s="2">
        <v>34.11</v>
      </c>
      <c r="M735" s="2">
        <v>436</v>
      </c>
      <c r="N735" s="2">
        <v>287.27999999999997</v>
      </c>
      <c r="O735" s="2">
        <v>132.72</v>
      </c>
      <c r="P735" s="2">
        <v>34.11</v>
      </c>
    </row>
    <row r="736" spans="1:16" x14ac:dyDescent="0.25">
      <c r="A736" t="s">
        <v>15</v>
      </c>
      <c r="B736" t="s">
        <v>907</v>
      </c>
      <c r="C736" t="s">
        <v>187</v>
      </c>
      <c r="D736" t="s">
        <v>1032</v>
      </c>
      <c r="E736" t="s">
        <v>19</v>
      </c>
      <c r="F736" t="s">
        <v>1033</v>
      </c>
      <c r="G736" s="1">
        <f>45764</f>
        <v>45764</v>
      </c>
      <c r="H736" t="s">
        <v>51</v>
      </c>
      <c r="I736" s="2">
        <v>2010.6</v>
      </c>
      <c r="J736" s="2">
        <v>1347.15</v>
      </c>
      <c r="K736" s="2">
        <v>663.45</v>
      </c>
      <c r="L736" s="2">
        <v>33</v>
      </c>
      <c r="M736" s="2">
        <v>2010.6</v>
      </c>
      <c r="N736" s="2">
        <v>1347.15</v>
      </c>
      <c r="O736" s="2">
        <v>633.45000000000005</v>
      </c>
      <c r="P736" s="2">
        <v>33</v>
      </c>
    </row>
    <row r="737" spans="1:16" x14ac:dyDescent="0.25">
      <c r="A737" t="s">
        <v>15</v>
      </c>
      <c r="B737" t="s">
        <v>907</v>
      </c>
      <c r="C737" t="s">
        <v>187</v>
      </c>
      <c r="D737" t="s">
        <v>1034</v>
      </c>
      <c r="E737" t="s">
        <v>19</v>
      </c>
      <c r="F737" t="s">
        <v>228</v>
      </c>
      <c r="G737" s="1">
        <f>45769</f>
        <v>45769</v>
      </c>
      <c r="H737" t="s">
        <v>51</v>
      </c>
      <c r="I737" s="2">
        <v>1212.4000000000001</v>
      </c>
      <c r="J737" s="2">
        <v>692.4</v>
      </c>
      <c r="K737" s="2">
        <v>520</v>
      </c>
      <c r="L737" s="2">
        <v>42.89</v>
      </c>
      <c r="M737" s="2">
        <v>1212.4000000000001</v>
      </c>
      <c r="N737" s="2">
        <v>666.4</v>
      </c>
      <c r="O737" s="2">
        <v>520</v>
      </c>
      <c r="P737" s="2">
        <v>45.03</v>
      </c>
    </row>
    <row r="738" spans="1:16" x14ac:dyDescent="0.25">
      <c r="A738" t="s">
        <v>15</v>
      </c>
      <c r="B738" t="s">
        <v>907</v>
      </c>
      <c r="C738" t="s">
        <v>187</v>
      </c>
      <c r="D738" t="s">
        <v>1035</v>
      </c>
      <c r="E738" t="s">
        <v>19</v>
      </c>
      <c r="F738" t="s">
        <v>211</v>
      </c>
      <c r="G738" s="1">
        <f>45770</f>
        <v>45770</v>
      </c>
      <c r="H738" t="s">
        <v>51</v>
      </c>
      <c r="I738" s="2">
        <v>742.1</v>
      </c>
      <c r="J738" s="2">
        <v>493.05</v>
      </c>
      <c r="K738" s="2">
        <v>249.05</v>
      </c>
      <c r="L738" s="2">
        <v>33.56</v>
      </c>
      <c r="M738" s="2">
        <v>742.1</v>
      </c>
      <c r="N738" s="2">
        <v>502.05</v>
      </c>
      <c r="O738" s="2">
        <v>198.05</v>
      </c>
      <c r="P738" s="2">
        <v>32.35</v>
      </c>
    </row>
    <row r="739" spans="1:16" x14ac:dyDescent="0.25">
      <c r="A739" t="s">
        <v>15</v>
      </c>
      <c r="B739" t="s">
        <v>907</v>
      </c>
      <c r="C739" t="s">
        <v>187</v>
      </c>
      <c r="D739" t="s">
        <v>1036</v>
      </c>
      <c r="E739" t="s">
        <v>19</v>
      </c>
      <c r="F739" t="s">
        <v>1037</v>
      </c>
      <c r="G739" s="1">
        <f>45770</f>
        <v>45770</v>
      </c>
      <c r="H739" t="s">
        <v>51</v>
      </c>
      <c r="I739" s="2">
        <v>721</v>
      </c>
      <c r="J739" s="2">
        <v>323.63</v>
      </c>
      <c r="K739" s="2">
        <v>397.37</v>
      </c>
      <c r="L739" s="2">
        <v>55.11</v>
      </c>
      <c r="M739" s="2">
        <v>721</v>
      </c>
      <c r="N739" s="2">
        <v>323.63</v>
      </c>
      <c r="O739" s="2">
        <v>382.37</v>
      </c>
      <c r="P739" s="2">
        <v>55.11</v>
      </c>
    </row>
    <row r="740" spans="1:16" x14ac:dyDescent="0.25">
      <c r="A740" t="s">
        <v>15</v>
      </c>
      <c r="B740" t="s">
        <v>907</v>
      </c>
      <c r="C740" t="s">
        <v>187</v>
      </c>
      <c r="D740" t="s">
        <v>1038</v>
      </c>
      <c r="E740" t="s">
        <v>19</v>
      </c>
      <c r="F740" t="s">
        <v>547</v>
      </c>
      <c r="G740" s="1">
        <f>45771</f>
        <v>45771</v>
      </c>
      <c r="H740" t="s">
        <v>51</v>
      </c>
      <c r="I740" s="2">
        <v>776.2</v>
      </c>
      <c r="J740" s="2">
        <v>538.77</v>
      </c>
      <c r="K740" s="2">
        <v>237.43</v>
      </c>
      <c r="L740" s="2">
        <v>30.59</v>
      </c>
      <c r="M740" s="2">
        <v>776.2</v>
      </c>
      <c r="N740" s="2">
        <v>538.77</v>
      </c>
      <c r="O740" s="2">
        <v>192.43</v>
      </c>
      <c r="P740" s="2">
        <v>30.59</v>
      </c>
    </row>
    <row r="741" spans="1:16" x14ac:dyDescent="0.25">
      <c r="A741" t="s">
        <v>15</v>
      </c>
      <c r="B741" t="s">
        <v>907</v>
      </c>
      <c r="C741" t="s">
        <v>187</v>
      </c>
      <c r="D741" t="s">
        <v>1039</v>
      </c>
      <c r="E741" t="s">
        <v>19</v>
      </c>
      <c r="F741" t="s">
        <v>191</v>
      </c>
      <c r="G741" s="1">
        <f>45771</f>
        <v>45771</v>
      </c>
      <c r="H741" t="s">
        <v>51</v>
      </c>
      <c r="I741" s="2">
        <v>217.8</v>
      </c>
      <c r="J741" s="2">
        <v>133.56</v>
      </c>
      <c r="K741" s="2">
        <v>84.24</v>
      </c>
      <c r="L741" s="2">
        <v>38.68</v>
      </c>
      <c r="M741" s="2">
        <v>217.8</v>
      </c>
      <c r="N741" s="2">
        <v>133.56</v>
      </c>
      <c r="O741" s="2">
        <v>54.24</v>
      </c>
      <c r="P741" s="2">
        <v>38.68</v>
      </c>
    </row>
    <row r="742" spans="1:16" x14ac:dyDescent="0.25">
      <c r="A742" t="s">
        <v>15</v>
      </c>
      <c r="B742" t="s">
        <v>907</v>
      </c>
      <c r="C742" t="s">
        <v>187</v>
      </c>
      <c r="D742" t="s">
        <v>1040</v>
      </c>
      <c r="E742" t="s">
        <v>19</v>
      </c>
      <c r="F742" t="s">
        <v>228</v>
      </c>
      <c r="G742" s="1">
        <f>45772</f>
        <v>45772</v>
      </c>
      <c r="H742" t="s">
        <v>51</v>
      </c>
      <c r="I742" s="2">
        <v>261.39999999999998</v>
      </c>
      <c r="J742" s="2">
        <v>113.2</v>
      </c>
      <c r="K742" s="2">
        <v>148.19999999999999</v>
      </c>
      <c r="L742" s="2">
        <v>56.69</v>
      </c>
      <c r="M742" s="2">
        <v>261.39999999999998</v>
      </c>
      <c r="N742" s="2">
        <v>113.2</v>
      </c>
      <c r="O742" s="2">
        <v>129.19999999999999</v>
      </c>
      <c r="P742" s="2">
        <v>56.69</v>
      </c>
    </row>
    <row r="743" spans="1:16" x14ac:dyDescent="0.25">
      <c r="A743" t="s">
        <v>15</v>
      </c>
      <c r="B743" t="s">
        <v>907</v>
      </c>
      <c r="C743" t="s">
        <v>187</v>
      </c>
      <c r="D743" t="s">
        <v>1041</v>
      </c>
      <c r="E743" t="s">
        <v>19</v>
      </c>
      <c r="F743" t="s">
        <v>189</v>
      </c>
      <c r="G743" s="1">
        <f>45772</f>
        <v>45772</v>
      </c>
      <c r="H743" t="s">
        <v>51</v>
      </c>
      <c r="I743" s="2">
        <v>1521.9</v>
      </c>
      <c r="J743" s="2">
        <v>1053.08</v>
      </c>
      <c r="K743" s="2">
        <v>468.82</v>
      </c>
      <c r="L743" s="2">
        <v>30.8</v>
      </c>
      <c r="M743" s="2">
        <v>1521.9</v>
      </c>
      <c r="N743" s="2">
        <v>1053.08</v>
      </c>
      <c r="O743" s="2">
        <v>341.36</v>
      </c>
      <c r="P743" s="2">
        <v>30.8</v>
      </c>
    </row>
    <row r="744" spans="1:16" x14ac:dyDescent="0.25">
      <c r="A744" t="s">
        <v>15</v>
      </c>
      <c r="B744" t="s">
        <v>907</v>
      </c>
      <c r="C744" t="s">
        <v>187</v>
      </c>
      <c r="D744" t="s">
        <v>1042</v>
      </c>
      <c r="E744" t="s">
        <v>19</v>
      </c>
      <c r="F744" t="s">
        <v>528</v>
      </c>
      <c r="G744" s="1">
        <f>45772</f>
        <v>45772</v>
      </c>
      <c r="H744" t="s">
        <v>51</v>
      </c>
      <c r="I744" s="2">
        <v>313.5</v>
      </c>
      <c r="J744" s="2">
        <v>203.85</v>
      </c>
      <c r="K744" s="2">
        <v>109.65</v>
      </c>
      <c r="L744" s="2">
        <v>34.979999999999997</v>
      </c>
      <c r="M744" s="2">
        <v>313.5</v>
      </c>
      <c r="N744" s="2">
        <v>203.85</v>
      </c>
      <c r="O744" s="2">
        <v>72.650000000000006</v>
      </c>
      <c r="P744" s="2">
        <v>34.979999999999997</v>
      </c>
    </row>
    <row r="745" spans="1:16" x14ac:dyDescent="0.25">
      <c r="A745" t="s">
        <v>15</v>
      </c>
      <c r="B745" t="s">
        <v>907</v>
      </c>
      <c r="C745" t="s">
        <v>187</v>
      </c>
      <c r="D745" t="s">
        <v>1043</v>
      </c>
      <c r="E745" t="s">
        <v>19</v>
      </c>
      <c r="F745" t="s">
        <v>213</v>
      </c>
      <c r="G745" s="1">
        <f>45775</f>
        <v>45775</v>
      </c>
      <c r="H745" t="s">
        <v>51</v>
      </c>
      <c r="I745" s="2">
        <v>556</v>
      </c>
      <c r="J745" s="2">
        <v>414.45</v>
      </c>
      <c r="K745" s="2">
        <v>141.55000000000001</v>
      </c>
      <c r="L745" s="2">
        <v>25.46</v>
      </c>
      <c r="M745" s="2">
        <v>556</v>
      </c>
      <c r="N745" s="2">
        <v>414.46</v>
      </c>
      <c r="O745" s="2">
        <v>16.54</v>
      </c>
      <c r="P745" s="2">
        <v>25.46</v>
      </c>
    </row>
    <row r="746" spans="1:16" x14ac:dyDescent="0.25">
      <c r="A746" t="s">
        <v>15</v>
      </c>
      <c r="B746" t="s">
        <v>907</v>
      </c>
      <c r="C746" t="s">
        <v>187</v>
      </c>
      <c r="D746" t="s">
        <v>1044</v>
      </c>
      <c r="E746" t="s">
        <v>19</v>
      </c>
      <c r="F746" t="s">
        <v>215</v>
      </c>
      <c r="G746" s="1">
        <f>45758</f>
        <v>45758</v>
      </c>
      <c r="H746" t="s">
        <v>51</v>
      </c>
      <c r="I746" s="2">
        <v>1018</v>
      </c>
      <c r="J746" s="2">
        <v>609.25</v>
      </c>
      <c r="K746" s="2">
        <v>408.75</v>
      </c>
      <c r="L746" s="2">
        <v>40.15</v>
      </c>
      <c r="M746" s="2">
        <v>1018</v>
      </c>
      <c r="N746" s="2">
        <v>691</v>
      </c>
      <c r="O746" s="2">
        <v>226</v>
      </c>
      <c r="P746" s="2">
        <v>32.119999999999997</v>
      </c>
    </row>
    <row r="747" spans="1:16" x14ac:dyDescent="0.25">
      <c r="A747" t="s">
        <v>15</v>
      </c>
      <c r="B747" t="s">
        <v>907</v>
      </c>
      <c r="C747" t="s">
        <v>187</v>
      </c>
      <c r="D747" t="s">
        <v>1045</v>
      </c>
      <c r="E747" t="s">
        <v>19</v>
      </c>
      <c r="F747" t="s">
        <v>215</v>
      </c>
      <c r="G747" s="1">
        <f>45758</f>
        <v>45758</v>
      </c>
      <c r="H747" t="s">
        <v>51</v>
      </c>
      <c r="I747" s="2">
        <v>3933</v>
      </c>
      <c r="J747" s="2">
        <v>2286.25</v>
      </c>
      <c r="K747" s="2">
        <v>1646.75</v>
      </c>
      <c r="L747" s="2">
        <v>41.87</v>
      </c>
      <c r="M747" s="2">
        <v>3933</v>
      </c>
      <c r="N747" s="2">
        <v>2368</v>
      </c>
      <c r="O747" s="2">
        <v>1414</v>
      </c>
      <c r="P747" s="2">
        <v>39.79</v>
      </c>
    </row>
    <row r="748" spans="1:16" x14ac:dyDescent="0.25">
      <c r="A748" t="s">
        <v>15</v>
      </c>
      <c r="B748" t="s">
        <v>907</v>
      </c>
      <c r="C748" t="s">
        <v>187</v>
      </c>
      <c r="D748" t="s">
        <v>1046</v>
      </c>
      <c r="E748" t="s">
        <v>19</v>
      </c>
      <c r="F748" t="s">
        <v>507</v>
      </c>
      <c r="G748" s="1">
        <f>45749</f>
        <v>45749</v>
      </c>
      <c r="H748" t="s">
        <v>51</v>
      </c>
      <c r="I748" s="2">
        <v>132</v>
      </c>
      <c r="J748" s="2">
        <v>64</v>
      </c>
      <c r="K748" s="2">
        <v>68</v>
      </c>
      <c r="L748" s="2">
        <v>51.52</v>
      </c>
      <c r="M748" s="2">
        <v>132</v>
      </c>
      <c r="N748" s="2">
        <v>64</v>
      </c>
      <c r="O748" s="2">
        <v>68</v>
      </c>
      <c r="P748" s="2">
        <v>51.52</v>
      </c>
    </row>
    <row r="749" spans="1:16" x14ac:dyDescent="0.25">
      <c r="A749" t="s">
        <v>15</v>
      </c>
      <c r="B749" t="s">
        <v>907</v>
      </c>
      <c r="C749" t="s">
        <v>187</v>
      </c>
      <c r="D749" t="s">
        <v>1047</v>
      </c>
      <c r="E749" t="s">
        <v>47</v>
      </c>
      <c r="F749" t="s">
        <v>215</v>
      </c>
      <c r="G749" s="1">
        <f>45771</f>
        <v>45771</v>
      </c>
      <c r="H749" t="s">
        <v>70</v>
      </c>
      <c r="I749" s="2">
        <v>2789</v>
      </c>
      <c r="J749" s="2">
        <v>1640.49</v>
      </c>
      <c r="K749" s="2">
        <v>1148.51</v>
      </c>
      <c r="L749" s="2">
        <v>41.18</v>
      </c>
      <c r="M749" s="2">
        <v>2789</v>
      </c>
      <c r="N749" s="2">
        <v>1640.42</v>
      </c>
      <c r="O749" s="2">
        <v>1071.58</v>
      </c>
      <c r="P749" s="2">
        <v>41.18</v>
      </c>
    </row>
    <row r="750" spans="1:16" x14ac:dyDescent="0.25">
      <c r="A750" t="s">
        <v>15</v>
      </c>
      <c r="B750" t="s">
        <v>907</v>
      </c>
      <c r="C750" t="s">
        <v>252</v>
      </c>
      <c r="D750" t="s">
        <v>1048</v>
      </c>
      <c r="E750" t="s">
        <v>47</v>
      </c>
      <c r="F750" t="s">
        <v>258</v>
      </c>
      <c r="G750" s="1">
        <f>45748</f>
        <v>45748</v>
      </c>
      <c r="H750" t="s">
        <v>2422</v>
      </c>
      <c r="I750" s="2">
        <v>372</v>
      </c>
      <c r="J750" s="2">
        <v>246.71</v>
      </c>
      <c r="K750" s="2">
        <v>125.29</v>
      </c>
      <c r="L750" s="2">
        <v>33.68</v>
      </c>
      <c r="M750" s="2">
        <v>372</v>
      </c>
      <c r="N750" s="2">
        <v>246.71</v>
      </c>
      <c r="O750" s="2">
        <v>90.29</v>
      </c>
      <c r="P750" s="2">
        <v>33.68</v>
      </c>
    </row>
    <row r="751" spans="1:16" x14ac:dyDescent="0.25">
      <c r="A751" t="s">
        <v>15</v>
      </c>
      <c r="B751" t="s">
        <v>907</v>
      </c>
      <c r="C751" t="s">
        <v>252</v>
      </c>
      <c r="D751" t="s">
        <v>1049</v>
      </c>
      <c r="E751" t="s">
        <v>47</v>
      </c>
      <c r="F751" t="s">
        <v>288</v>
      </c>
      <c r="G751" s="1">
        <f>45748</f>
        <v>45748</v>
      </c>
      <c r="H751" t="s">
        <v>2422</v>
      </c>
      <c r="I751" s="2">
        <v>255.5</v>
      </c>
      <c r="J751" s="2">
        <v>151.16999999999999</v>
      </c>
      <c r="K751" s="2">
        <v>104.33</v>
      </c>
      <c r="L751" s="2">
        <v>40.83</v>
      </c>
      <c r="M751" s="2">
        <v>255.5</v>
      </c>
      <c r="N751" s="2">
        <v>151.16999999999999</v>
      </c>
      <c r="O751" s="2">
        <v>102.98</v>
      </c>
      <c r="P751" s="2">
        <v>40.83</v>
      </c>
    </row>
    <row r="752" spans="1:16" x14ac:dyDescent="0.25">
      <c r="A752" t="s">
        <v>15</v>
      </c>
      <c r="B752" t="s">
        <v>907</v>
      </c>
      <c r="C752" t="s">
        <v>252</v>
      </c>
      <c r="D752" t="s">
        <v>1050</v>
      </c>
      <c r="E752" t="s">
        <v>47</v>
      </c>
      <c r="F752" t="s">
        <v>574</v>
      </c>
      <c r="G752" s="1">
        <f>45748</f>
        <v>45748</v>
      </c>
      <c r="H752" t="s">
        <v>2422</v>
      </c>
      <c r="I752" s="2">
        <v>415.1</v>
      </c>
      <c r="J752" s="2">
        <v>289.64</v>
      </c>
      <c r="K752" s="2">
        <v>125.46</v>
      </c>
      <c r="L752" s="2">
        <v>30.22</v>
      </c>
      <c r="M752" s="2">
        <v>415.1</v>
      </c>
      <c r="N752" s="2">
        <v>289.62</v>
      </c>
      <c r="O752" s="2">
        <v>111.09</v>
      </c>
      <c r="P752" s="2">
        <v>30.23</v>
      </c>
    </row>
    <row r="753" spans="1:16" x14ac:dyDescent="0.25">
      <c r="A753" t="s">
        <v>15</v>
      </c>
      <c r="B753" t="s">
        <v>907</v>
      </c>
      <c r="C753" t="s">
        <v>252</v>
      </c>
      <c r="D753" t="s">
        <v>1051</v>
      </c>
      <c r="E753" t="s">
        <v>47</v>
      </c>
      <c r="F753" t="s">
        <v>299</v>
      </c>
      <c r="G753" s="1">
        <f>45748</f>
        <v>45748</v>
      </c>
      <c r="H753" t="s">
        <v>2422</v>
      </c>
      <c r="I753" s="2">
        <v>1553.8</v>
      </c>
      <c r="J753" s="2">
        <v>878.62</v>
      </c>
      <c r="K753" s="2">
        <v>675.18</v>
      </c>
      <c r="L753" s="2">
        <v>43.45</v>
      </c>
      <c r="M753" s="2">
        <v>1553.8</v>
      </c>
      <c r="N753" s="2">
        <v>878.62</v>
      </c>
      <c r="O753" s="2">
        <v>585.16</v>
      </c>
      <c r="P753" s="2">
        <v>43.45</v>
      </c>
    </row>
    <row r="754" spans="1:16" x14ac:dyDescent="0.25">
      <c r="A754" t="s">
        <v>15</v>
      </c>
      <c r="B754" t="s">
        <v>907</v>
      </c>
      <c r="C754" t="s">
        <v>252</v>
      </c>
      <c r="D754" t="s">
        <v>1052</v>
      </c>
      <c r="E754" t="s">
        <v>47</v>
      </c>
      <c r="F754" t="s">
        <v>299</v>
      </c>
      <c r="G754" s="1">
        <f>45751</f>
        <v>45751</v>
      </c>
      <c r="H754" t="s">
        <v>2422</v>
      </c>
      <c r="I754" s="2">
        <v>330.6</v>
      </c>
      <c r="J754" s="2">
        <v>270.55</v>
      </c>
      <c r="K754" s="2">
        <v>60.05</v>
      </c>
      <c r="L754" s="2">
        <v>18.16</v>
      </c>
      <c r="M754" s="2">
        <v>330.6</v>
      </c>
      <c r="N754" s="2">
        <v>270.55</v>
      </c>
      <c r="O754" s="2">
        <v>-3.95</v>
      </c>
      <c r="P754" s="2">
        <v>18.16</v>
      </c>
    </row>
    <row r="755" spans="1:16" x14ac:dyDescent="0.25">
      <c r="A755" t="s">
        <v>15</v>
      </c>
      <c r="B755" t="s">
        <v>907</v>
      </c>
      <c r="C755" t="s">
        <v>252</v>
      </c>
      <c r="D755" t="s">
        <v>1053</v>
      </c>
      <c r="E755" t="s">
        <v>47</v>
      </c>
      <c r="F755" t="s">
        <v>281</v>
      </c>
      <c r="G755" s="1">
        <f>45751</f>
        <v>45751</v>
      </c>
      <c r="H755" t="s">
        <v>2422</v>
      </c>
      <c r="I755" s="2">
        <v>428.8</v>
      </c>
      <c r="J755" s="2">
        <v>284.54000000000002</v>
      </c>
      <c r="K755" s="2">
        <v>144.26</v>
      </c>
      <c r="L755" s="2">
        <v>33.64</v>
      </c>
      <c r="M755" s="2">
        <v>428.8</v>
      </c>
      <c r="N755" s="2">
        <v>284.54000000000002</v>
      </c>
      <c r="O755" s="2">
        <v>-6.9</v>
      </c>
      <c r="P755" s="2">
        <v>33.64</v>
      </c>
    </row>
    <row r="756" spans="1:16" x14ac:dyDescent="0.25">
      <c r="A756" t="s">
        <v>15</v>
      </c>
      <c r="B756" t="s">
        <v>907</v>
      </c>
      <c r="C756" t="s">
        <v>252</v>
      </c>
      <c r="D756" t="s">
        <v>1054</v>
      </c>
      <c r="E756" t="s">
        <v>47</v>
      </c>
      <c r="F756" t="s">
        <v>830</v>
      </c>
      <c r="G756" s="1">
        <f>45756</f>
        <v>45756</v>
      </c>
      <c r="H756" t="s">
        <v>2422</v>
      </c>
      <c r="I756" s="2">
        <v>1177.3</v>
      </c>
      <c r="J756" s="2">
        <v>725.14</v>
      </c>
      <c r="K756" s="2">
        <v>452.16</v>
      </c>
      <c r="L756" s="2">
        <v>38.409999999999997</v>
      </c>
      <c r="M756" s="2">
        <v>1177.3</v>
      </c>
      <c r="N756" s="2">
        <v>725.14</v>
      </c>
      <c r="O756" s="2">
        <v>452.16</v>
      </c>
      <c r="P756" s="2">
        <v>38.409999999999997</v>
      </c>
    </row>
    <row r="757" spans="1:16" x14ac:dyDescent="0.25">
      <c r="A757" t="s">
        <v>15</v>
      </c>
      <c r="B757" t="s">
        <v>907</v>
      </c>
      <c r="C757" t="s">
        <v>252</v>
      </c>
      <c r="D757" t="s">
        <v>1055</v>
      </c>
      <c r="E757" t="s">
        <v>47</v>
      </c>
      <c r="F757" t="s">
        <v>833</v>
      </c>
      <c r="G757" s="1">
        <f>45761</f>
        <v>45761</v>
      </c>
      <c r="H757" t="s">
        <v>2422</v>
      </c>
      <c r="I757" s="2">
        <v>3322.4</v>
      </c>
      <c r="J757" s="2">
        <v>2423</v>
      </c>
      <c r="K757" s="2">
        <v>899.4</v>
      </c>
      <c r="L757" s="2">
        <v>27.07</v>
      </c>
      <c r="M757" s="2">
        <v>3322.4</v>
      </c>
      <c r="N757" s="2">
        <v>2423</v>
      </c>
      <c r="O757" s="2">
        <v>881.4</v>
      </c>
      <c r="P757" s="2">
        <v>27.07</v>
      </c>
    </row>
    <row r="758" spans="1:16" x14ac:dyDescent="0.25">
      <c r="A758" t="s">
        <v>15</v>
      </c>
      <c r="B758" t="s">
        <v>907</v>
      </c>
      <c r="C758" t="s">
        <v>252</v>
      </c>
      <c r="D758" t="s">
        <v>1056</v>
      </c>
      <c r="E758" t="s">
        <v>47</v>
      </c>
      <c r="F758" t="s">
        <v>1057</v>
      </c>
      <c r="G758" s="1">
        <f>45761</f>
        <v>45761</v>
      </c>
      <c r="H758" t="s">
        <v>2422</v>
      </c>
      <c r="I758" s="2">
        <v>254.5</v>
      </c>
      <c r="J758" s="2">
        <v>151.16999999999999</v>
      </c>
      <c r="K758" s="2">
        <v>103.33</v>
      </c>
      <c r="L758" s="2">
        <v>40.6</v>
      </c>
      <c r="M758" s="2">
        <v>254.5</v>
      </c>
      <c r="N758" s="2">
        <v>151.16999999999999</v>
      </c>
      <c r="O758" s="2">
        <v>101.98</v>
      </c>
      <c r="P758" s="2">
        <v>40.6</v>
      </c>
    </row>
    <row r="759" spans="1:16" x14ac:dyDescent="0.25">
      <c r="A759" t="s">
        <v>15</v>
      </c>
      <c r="B759" t="s">
        <v>907</v>
      </c>
      <c r="C759" t="s">
        <v>252</v>
      </c>
      <c r="D759" t="s">
        <v>1058</v>
      </c>
      <c r="E759" t="s">
        <v>47</v>
      </c>
      <c r="F759" t="s">
        <v>295</v>
      </c>
      <c r="G759" s="1">
        <f>45761</f>
        <v>45761</v>
      </c>
      <c r="H759" t="s">
        <v>2422</v>
      </c>
      <c r="I759" s="2">
        <v>154.30000000000001</v>
      </c>
      <c r="J759" s="2">
        <v>94.95</v>
      </c>
      <c r="K759" s="2">
        <v>59.35</v>
      </c>
      <c r="L759" s="2">
        <v>38.46</v>
      </c>
      <c r="M759" s="2">
        <v>154.30000000000001</v>
      </c>
      <c r="N759" s="2">
        <v>94.95</v>
      </c>
      <c r="O759" s="2">
        <v>50.35</v>
      </c>
      <c r="P759" s="2">
        <v>38.46</v>
      </c>
    </row>
    <row r="760" spans="1:16" x14ac:dyDescent="0.25">
      <c r="A760" t="s">
        <v>15</v>
      </c>
      <c r="B760" t="s">
        <v>907</v>
      </c>
      <c r="C760" t="s">
        <v>252</v>
      </c>
      <c r="D760" t="s">
        <v>1059</v>
      </c>
      <c r="E760" t="s">
        <v>47</v>
      </c>
      <c r="F760" t="s">
        <v>574</v>
      </c>
      <c r="G760" s="1">
        <f>45762</f>
        <v>45762</v>
      </c>
      <c r="H760" t="s">
        <v>2422</v>
      </c>
      <c r="I760" s="2">
        <v>595.6</v>
      </c>
      <c r="J760" s="2">
        <v>417.8</v>
      </c>
      <c r="K760" s="2">
        <v>177.8</v>
      </c>
      <c r="L760" s="2">
        <v>29.85</v>
      </c>
      <c r="M760" s="2">
        <v>595.6</v>
      </c>
      <c r="N760" s="2">
        <v>417.8</v>
      </c>
      <c r="O760" s="2">
        <v>83.8</v>
      </c>
      <c r="P760" s="2">
        <v>29.85</v>
      </c>
    </row>
    <row r="761" spans="1:16" x14ac:dyDescent="0.25">
      <c r="A761" t="s">
        <v>15</v>
      </c>
      <c r="B761" t="s">
        <v>907</v>
      </c>
      <c r="C761" t="s">
        <v>252</v>
      </c>
      <c r="D761" t="s">
        <v>1060</v>
      </c>
      <c r="E761" t="s">
        <v>47</v>
      </c>
      <c r="F761" t="s">
        <v>272</v>
      </c>
      <c r="G761" s="1">
        <f>45763</f>
        <v>45763</v>
      </c>
      <c r="H761" t="s">
        <v>2422</v>
      </c>
      <c r="I761" s="2">
        <v>407.54</v>
      </c>
      <c r="J761" s="2">
        <v>290.52</v>
      </c>
      <c r="K761" s="2">
        <v>117.02</v>
      </c>
      <c r="L761" s="2">
        <v>28.71</v>
      </c>
      <c r="M761" s="2">
        <v>407.54</v>
      </c>
      <c r="N761" s="2">
        <v>290.52</v>
      </c>
      <c r="O761" s="2">
        <v>117.02</v>
      </c>
      <c r="P761" s="2">
        <v>28.71</v>
      </c>
    </row>
    <row r="762" spans="1:16" x14ac:dyDescent="0.25">
      <c r="A762" t="s">
        <v>15</v>
      </c>
      <c r="B762" t="s">
        <v>907</v>
      </c>
      <c r="C762" t="s">
        <v>252</v>
      </c>
      <c r="D762" t="s">
        <v>1061</v>
      </c>
      <c r="E762" t="s">
        <v>47</v>
      </c>
      <c r="F762" t="s">
        <v>574</v>
      </c>
      <c r="G762" s="1">
        <f>45763</f>
        <v>45763</v>
      </c>
      <c r="H762" t="s">
        <v>2422</v>
      </c>
      <c r="I762" s="2">
        <v>353</v>
      </c>
      <c r="J762" s="2">
        <v>228.01</v>
      </c>
      <c r="K762" s="2">
        <v>124.99</v>
      </c>
      <c r="L762" s="2">
        <v>35.409999999999997</v>
      </c>
      <c r="M762" s="2">
        <v>353</v>
      </c>
      <c r="N762" s="2">
        <v>228.01</v>
      </c>
      <c r="O762" s="2">
        <v>86.98</v>
      </c>
      <c r="P762" s="2">
        <v>35.409999999999997</v>
      </c>
    </row>
    <row r="763" spans="1:16" x14ac:dyDescent="0.25">
      <c r="A763" t="s">
        <v>15</v>
      </c>
      <c r="B763" t="s">
        <v>907</v>
      </c>
      <c r="C763" t="s">
        <v>252</v>
      </c>
      <c r="D763" t="s">
        <v>1062</v>
      </c>
      <c r="E763" t="s">
        <v>47</v>
      </c>
      <c r="F763" t="s">
        <v>265</v>
      </c>
      <c r="G763" s="1">
        <f>45764</f>
        <v>45764</v>
      </c>
      <c r="H763" t="s">
        <v>2422</v>
      </c>
      <c r="I763" s="2">
        <v>9750</v>
      </c>
      <c r="J763" s="2">
        <v>6630</v>
      </c>
      <c r="K763" s="2">
        <v>3120</v>
      </c>
      <c r="L763" s="2">
        <v>32</v>
      </c>
      <c r="M763" s="2">
        <v>9750</v>
      </c>
      <c r="N763" s="2">
        <v>6630</v>
      </c>
      <c r="O763" s="2">
        <v>3120</v>
      </c>
      <c r="P763" s="2">
        <v>32</v>
      </c>
    </row>
    <row r="764" spans="1:16" x14ac:dyDescent="0.25">
      <c r="A764" t="s">
        <v>15</v>
      </c>
      <c r="B764" t="s">
        <v>907</v>
      </c>
      <c r="C764" t="s">
        <v>252</v>
      </c>
      <c r="D764" t="s">
        <v>1063</v>
      </c>
      <c r="E764" t="s">
        <v>19</v>
      </c>
      <c r="F764" t="s">
        <v>1064</v>
      </c>
      <c r="G764" s="1">
        <f>45772</f>
        <v>45772</v>
      </c>
      <c r="H764" t="s">
        <v>2422</v>
      </c>
      <c r="I764" s="2">
        <v>17000</v>
      </c>
      <c r="J764" s="2">
        <v>13193</v>
      </c>
      <c r="K764" s="2">
        <v>3807</v>
      </c>
      <c r="L764" s="2">
        <v>22.39</v>
      </c>
      <c r="M764" s="2">
        <v>17000</v>
      </c>
      <c r="N764" s="2">
        <v>13193</v>
      </c>
      <c r="O764" s="2">
        <v>3807</v>
      </c>
      <c r="P764" s="2">
        <v>22.39</v>
      </c>
    </row>
    <row r="765" spans="1:16" x14ac:dyDescent="0.25">
      <c r="A765" t="s">
        <v>15</v>
      </c>
      <c r="B765" t="s">
        <v>907</v>
      </c>
      <c r="C765" t="s">
        <v>252</v>
      </c>
      <c r="D765" t="s">
        <v>1065</v>
      </c>
      <c r="E765" t="s">
        <v>47</v>
      </c>
      <c r="F765" t="s">
        <v>587</v>
      </c>
      <c r="G765" s="1">
        <f>45765</f>
        <v>45765</v>
      </c>
      <c r="H765" t="s">
        <v>2422</v>
      </c>
      <c r="I765" s="2">
        <v>13776.8</v>
      </c>
      <c r="J765" s="2">
        <v>10254.68</v>
      </c>
      <c r="K765" s="2">
        <v>3522.12</v>
      </c>
      <c r="L765" s="2">
        <v>25.57</v>
      </c>
      <c r="M765" s="2">
        <v>13776.8</v>
      </c>
      <c r="N765" s="2">
        <v>10254.68</v>
      </c>
      <c r="O765" s="2">
        <v>3273.12</v>
      </c>
      <c r="P765" s="2">
        <v>25.57</v>
      </c>
    </row>
    <row r="766" spans="1:16" x14ac:dyDescent="0.25">
      <c r="A766" t="s">
        <v>15</v>
      </c>
      <c r="B766" t="s">
        <v>907</v>
      </c>
      <c r="C766" t="s">
        <v>252</v>
      </c>
      <c r="D766" t="s">
        <v>1066</v>
      </c>
      <c r="E766" t="s">
        <v>47</v>
      </c>
      <c r="F766" t="s">
        <v>1067</v>
      </c>
      <c r="G766" s="1">
        <f>45769</f>
        <v>45769</v>
      </c>
      <c r="H766" t="s">
        <v>2422</v>
      </c>
      <c r="I766" s="2">
        <v>3381.4</v>
      </c>
      <c r="J766" s="2">
        <v>2366.6</v>
      </c>
      <c r="K766" s="2">
        <v>1014.8</v>
      </c>
      <c r="L766" s="2">
        <v>30.01</v>
      </c>
      <c r="M766" s="2">
        <v>3381.4</v>
      </c>
      <c r="N766" s="2">
        <v>2366.6</v>
      </c>
      <c r="O766" s="2">
        <v>996.8</v>
      </c>
      <c r="P766" s="2">
        <v>30.01</v>
      </c>
    </row>
    <row r="767" spans="1:16" x14ac:dyDescent="0.25">
      <c r="A767" t="s">
        <v>15</v>
      </c>
      <c r="B767" t="s">
        <v>907</v>
      </c>
      <c r="C767" t="s">
        <v>252</v>
      </c>
      <c r="D767" t="s">
        <v>1068</v>
      </c>
      <c r="E767" t="s">
        <v>47</v>
      </c>
      <c r="F767" t="s">
        <v>833</v>
      </c>
      <c r="G767" s="1">
        <f>45769</f>
        <v>45769</v>
      </c>
      <c r="H767" t="s">
        <v>2422</v>
      </c>
      <c r="I767" s="2">
        <v>260.60000000000002</v>
      </c>
      <c r="J767" s="2">
        <v>119</v>
      </c>
      <c r="K767" s="2">
        <v>141.6</v>
      </c>
      <c r="L767" s="2">
        <v>54.34</v>
      </c>
      <c r="M767" s="2">
        <v>260.60000000000002</v>
      </c>
      <c r="N767" s="2">
        <v>119</v>
      </c>
      <c r="O767" s="2">
        <v>132.6</v>
      </c>
      <c r="P767" s="2">
        <v>54.34</v>
      </c>
    </row>
    <row r="768" spans="1:16" x14ac:dyDescent="0.25">
      <c r="A768" t="s">
        <v>15</v>
      </c>
      <c r="B768" t="s">
        <v>907</v>
      </c>
      <c r="C768" t="s">
        <v>252</v>
      </c>
      <c r="D768" t="s">
        <v>1069</v>
      </c>
      <c r="E768" t="s">
        <v>47</v>
      </c>
      <c r="F768" t="s">
        <v>279</v>
      </c>
      <c r="G768" s="1">
        <f>45772</f>
        <v>45772</v>
      </c>
      <c r="H768" t="s">
        <v>2422</v>
      </c>
      <c r="I768" s="2">
        <v>382.3</v>
      </c>
      <c r="J768" s="2">
        <v>225.15</v>
      </c>
      <c r="K768" s="2">
        <v>157.15</v>
      </c>
      <c r="L768" s="2">
        <v>41.11</v>
      </c>
      <c r="M768" s="2">
        <v>382.3</v>
      </c>
      <c r="N768" s="2">
        <v>225.15</v>
      </c>
      <c r="O768" s="2">
        <v>148.15</v>
      </c>
      <c r="P768" s="2">
        <v>41.11</v>
      </c>
    </row>
    <row r="769" spans="1:16" x14ac:dyDescent="0.25">
      <c r="A769" t="s">
        <v>15</v>
      </c>
      <c r="B769" t="s">
        <v>907</v>
      </c>
      <c r="C769" t="s">
        <v>252</v>
      </c>
      <c r="D769" t="s">
        <v>1070</v>
      </c>
      <c r="E769" t="s">
        <v>47</v>
      </c>
      <c r="F769" t="s">
        <v>574</v>
      </c>
      <c r="G769" s="1">
        <f>45772</f>
        <v>45772</v>
      </c>
      <c r="H769" t="s">
        <v>2422</v>
      </c>
      <c r="I769" s="2">
        <v>559.79999999999995</v>
      </c>
      <c r="J769" s="2">
        <v>401.82</v>
      </c>
      <c r="K769" s="2">
        <v>157.97999999999999</v>
      </c>
      <c r="L769" s="2">
        <v>28.22</v>
      </c>
      <c r="M769" s="2">
        <v>559.79999999999995</v>
      </c>
      <c r="N769" s="2">
        <v>401.82</v>
      </c>
      <c r="O769" s="2">
        <v>121.98</v>
      </c>
      <c r="P769" s="2">
        <v>28.22</v>
      </c>
    </row>
    <row r="770" spans="1:16" x14ac:dyDescent="0.25">
      <c r="A770" t="s">
        <v>15</v>
      </c>
      <c r="B770" t="s">
        <v>907</v>
      </c>
      <c r="C770" t="s">
        <v>252</v>
      </c>
      <c r="D770" t="s">
        <v>1071</v>
      </c>
      <c r="E770" t="s">
        <v>47</v>
      </c>
      <c r="F770" t="s">
        <v>279</v>
      </c>
      <c r="G770" s="1">
        <f>45772</f>
        <v>45772</v>
      </c>
      <c r="H770" t="s">
        <v>2422</v>
      </c>
      <c r="I770" s="2">
        <v>1808.4</v>
      </c>
      <c r="J770" s="2">
        <v>1257.26</v>
      </c>
      <c r="K770" s="2">
        <v>551.14</v>
      </c>
      <c r="L770" s="2">
        <v>30.48</v>
      </c>
      <c r="M770" s="2">
        <v>1808.4</v>
      </c>
      <c r="N770" s="2">
        <v>1257.26</v>
      </c>
      <c r="O770" s="2">
        <v>461.14</v>
      </c>
      <c r="P770" s="2">
        <v>30.48</v>
      </c>
    </row>
    <row r="771" spans="1:16" x14ac:dyDescent="0.25">
      <c r="A771" t="s">
        <v>15</v>
      </c>
      <c r="B771" t="s">
        <v>907</v>
      </c>
      <c r="C771" t="s">
        <v>252</v>
      </c>
      <c r="D771" t="s">
        <v>1072</v>
      </c>
      <c r="E771" t="s">
        <v>47</v>
      </c>
      <c r="F771" t="s">
        <v>1073</v>
      </c>
      <c r="G771" s="1">
        <f>45776</f>
        <v>45776</v>
      </c>
      <c r="H771" t="s">
        <v>2422</v>
      </c>
      <c r="I771" s="2">
        <v>627.70000000000005</v>
      </c>
      <c r="J771" s="2">
        <v>434.57</v>
      </c>
      <c r="K771" s="2">
        <v>193.13</v>
      </c>
      <c r="L771" s="2">
        <v>30.77</v>
      </c>
      <c r="M771" s="2">
        <v>627.70000000000005</v>
      </c>
      <c r="N771" s="2">
        <v>434.57</v>
      </c>
      <c r="O771" s="2">
        <v>166.13</v>
      </c>
      <c r="P771" s="2">
        <v>30.77</v>
      </c>
    </row>
    <row r="772" spans="1:16" x14ac:dyDescent="0.25">
      <c r="A772" t="s">
        <v>15</v>
      </c>
      <c r="B772" t="s">
        <v>907</v>
      </c>
      <c r="C772" t="s">
        <v>252</v>
      </c>
      <c r="D772" t="s">
        <v>1074</v>
      </c>
      <c r="E772" t="s">
        <v>47</v>
      </c>
      <c r="F772" t="s">
        <v>1075</v>
      </c>
      <c r="G772" s="1">
        <f>45763</f>
        <v>45763</v>
      </c>
      <c r="H772" t="s">
        <v>2422</v>
      </c>
      <c r="I772" s="2">
        <v>503</v>
      </c>
      <c r="J772" s="2">
        <v>143.27000000000001</v>
      </c>
      <c r="K772" s="2">
        <v>359.73</v>
      </c>
      <c r="L772" s="2">
        <v>71.52</v>
      </c>
      <c r="M772" s="2">
        <v>503</v>
      </c>
      <c r="N772" s="2">
        <v>140.13</v>
      </c>
      <c r="O772" s="2">
        <v>352.87</v>
      </c>
      <c r="P772" s="2">
        <v>72.14</v>
      </c>
    </row>
    <row r="773" spans="1:16" x14ac:dyDescent="0.25">
      <c r="A773" t="s">
        <v>15</v>
      </c>
      <c r="B773" t="s">
        <v>907</v>
      </c>
      <c r="C773" t="s">
        <v>1076</v>
      </c>
      <c r="D773" t="s">
        <v>1077</v>
      </c>
      <c r="E773" t="s">
        <v>19</v>
      </c>
      <c r="F773" t="s">
        <v>191</v>
      </c>
      <c r="G773" s="1">
        <f>45749</f>
        <v>45749</v>
      </c>
      <c r="H773" t="s">
        <v>51</v>
      </c>
      <c r="I773" s="2">
        <v>8900</v>
      </c>
      <c r="J773" s="2">
        <v>6259.82</v>
      </c>
      <c r="K773" s="2">
        <v>2640.18</v>
      </c>
      <c r="L773" s="2">
        <v>29.66</v>
      </c>
      <c r="M773" s="2">
        <v>8900</v>
      </c>
      <c r="N773" s="2">
        <v>6259.82</v>
      </c>
      <c r="O773" s="2">
        <v>2485.1799999999998</v>
      </c>
      <c r="P773" s="2">
        <v>29.66</v>
      </c>
    </row>
    <row r="774" spans="1:16" x14ac:dyDescent="0.25">
      <c r="A774" t="s">
        <v>15</v>
      </c>
      <c r="B774" t="s">
        <v>907</v>
      </c>
      <c r="C774" t="s">
        <v>1076</v>
      </c>
      <c r="D774" t="s">
        <v>1078</v>
      </c>
      <c r="E774" t="s">
        <v>19</v>
      </c>
      <c r="F774" t="s">
        <v>191</v>
      </c>
      <c r="G774" s="1">
        <f>45763</f>
        <v>45763</v>
      </c>
      <c r="H774" t="s">
        <v>51</v>
      </c>
      <c r="I774" s="2">
        <v>8000</v>
      </c>
      <c r="J774" s="2">
        <v>3333.54</v>
      </c>
      <c r="K774" s="2">
        <v>4666.46</v>
      </c>
      <c r="L774" s="2">
        <v>58.33</v>
      </c>
      <c r="M774" s="2">
        <v>8000</v>
      </c>
      <c r="N774" s="2">
        <v>3333.54</v>
      </c>
      <c r="O774" s="2">
        <v>4220.22</v>
      </c>
      <c r="P774" s="2">
        <v>58.33</v>
      </c>
    </row>
    <row r="775" spans="1:16" x14ac:dyDescent="0.25">
      <c r="A775" t="s">
        <v>15</v>
      </c>
      <c r="B775" t="s">
        <v>907</v>
      </c>
      <c r="C775" t="s">
        <v>17</v>
      </c>
      <c r="D775" t="s">
        <v>1079</v>
      </c>
      <c r="E775" t="s">
        <v>47</v>
      </c>
      <c r="F775" t="s">
        <v>28</v>
      </c>
      <c r="G775" s="1">
        <f>45761</f>
        <v>45761</v>
      </c>
      <c r="H775" t="s">
        <v>2422</v>
      </c>
      <c r="I775" s="2">
        <v>670</v>
      </c>
      <c r="J775" s="2">
        <v>42.06</v>
      </c>
      <c r="K775" s="2">
        <v>627.94000000000005</v>
      </c>
      <c r="L775" s="2">
        <v>93.72</v>
      </c>
      <c r="M775" s="2">
        <v>0</v>
      </c>
      <c r="N775" s="2">
        <v>5.0599999999999996</v>
      </c>
      <c r="O775" s="2">
        <v>-42.06</v>
      </c>
      <c r="P775" s="2">
        <v>0</v>
      </c>
    </row>
    <row r="776" spans="1:16" x14ac:dyDescent="0.25">
      <c r="A776" t="s">
        <v>15</v>
      </c>
      <c r="B776" t="s">
        <v>907</v>
      </c>
      <c r="C776" t="s">
        <v>17</v>
      </c>
      <c r="D776" t="s">
        <v>1080</v>
      </c>
      <c r="E776" t="s">
        <v>47</v>
      </c>
      <c r="F776" t="s">
        <v>333</v>
      </c>
      <c r="G776" s="1">
        <f>45748</f>
        <v>45748</v>
      </c>
      <c r="H776" t="s">
        <v>2422</v>
      </c>
      <c r="I776" s="2">
        <v>3654.66</v>
      </c>
      <c r="J776" s="2">
        <v>2478.85</v>
      </c>
      <c r="K776" s="2">
        <v>1175.81</v>
      </c>
      <c r="L776" s="2">
        <v>32.17</v>
      </c>
      <c r="M776" s="2">
        <v>3654.66</v>
      </c>
      <c r="N776" s="2">
        <v>2478.85</v>
      </c>
      <c r="O776" s="2">
        <v>1142.81</v>
      </c>
      <c r="P776" s="2">
        <v>32.17</v>
      </c>
    </row>
    <row r="777" spans="1:16" x14ac:dyDescent="0.25">
      <c r="A777" t="s">
        <v>15</v>
      </c>
      <c r="B777" t="s">
        <v>907</v>
      </c>
      <c r="C777" t="s">
        <v>17</v>
      </c>
      <c r="D777" t="s">
        <v>1081</v>
      </c>
      <c r="E777" t="s">
        <v>47</v>
      </c>
      <c r="F777" t="s">
        <v>320</v>
      </c>
      <c r="G777" s="1">
        <f>45748</f>
        <v>45748</v>
      </c>
      <c r="H777" t="s">
        <v>2422</v>
      </c>
      <c r="I777" s="2">
        <v>4340.28</v>
      </c>
      <c r="J777" s="2">
        <v>2991.4</v>
      </c>
      <c r="K777" s="2">
        <v>1348.88</v>
      </c>
      <c r="L777" s="2">
        <v>31.08</v>
      </c>
      <c r="M777" s="2">
        <v>4340.28</v>
      </c>
      <c r="N777" s="2">
        <v>2991.4</v>
      </c>
      <c r="O777" s="2">
        <v>1246.8800000000001</v>
      </c>
      <c r="P777" s="2">
        <v>31.08</v>
      </c>
    </row>
    <row r="778" spans="1:16" x14ac:dyDescent="0.25">
      <c r="A778" t="s">
        <v>15</v>
      </c>
      <c r="B778" t="s">
        <v>907</v>
      </c>
      <c r="C778" t="s">
        <v>17</v>
      </c>
      <c r="D778" t="s">
        <v>1082</v>
      </c>
      <c r="E778" t="s">
        <v>47</v>
      </c>
      <c r="F778" t="s">
        <v>320</v>
      </c>
      <c r="G778" s="1">
        <f>45748</f>
        <v>45748</v>
      </c>
      <c r="H778" t="s">
        <v>2422</v>
      </c>
      <c r="I778" s="2">
        <v>517.79999999999995</v>
      </c>
      <c r="J778" s="2">
        <v>330.52</v>
      </c>
      <c r="K778" s="2">
        <v>187.28</v>
      </c>
      <c r="L778" s="2">
        <v>36.17</v>
      </c>
      <c r="M778" s="2">
        <v>517.79999999999995</v>
      </c>
      <c r="N778" s="2">
        <v>330.52</v>
      </c>
      <c r="O778" s="2">
        <v>146.28</v>
      </c>
      <c r="P778" s="2">
        <v>36.17</v>
      </c>
    </row>
    <row r="779" spans="1:16" x14ac:dyDescent="0.25">
      <c r="A779" t="s">
        <v>15</v>
      </c>
      <c r="B779" t="s">
        <v>907</v>
      </c>
      <c r="C779" t="s">
        <v>17</v>
      </c>
      <c r="D779" t="s">
        <v>1083</v>
      </c>
      <c r="E779" t="s">
        <v>47</v>
      </c>
      <c r="F779" t="s">
        <v>1084</v>
      </c>
      <c r="G779" s="1">
        <f>45749</f>
        <v>45749</v>
      </c>
      <c r="H779" t="s">
        <v>2422</v>
      </c>
      <c r="I779" s="2">
        <v>964.4</v>
      </c>
      <c r="J779" s="2">
        <v>614.6</v>
      </c>
      <c r="K779" s="2">
        <v>349.8</v>
      </c>
      <c r="L779" s="2">
        <v>36.270000000000003</v>
      </c>
      <c r="M779" s="2">
        <v>964.4</v>
      </c>
      <c r="N779" s="2">
        <v>614.6</v>
      </c>
      <c r="O779" s="2">
        <v>304.8</v>
      </c>
      <c r="P779" s="2">
        <v>36.270000000000003</v>
      </c>
    </row>
    <row r="780" spans="1:16" x14ac:dyDescent="0.25">
      <c r="A780" t="s">
        <v>15</v>
      </c>
      <c r="B780" t="s">
        <v>907</v>
      </c>
      <c r="C780" t="s">
        <v>17</v>
      </c>
      <c r="D780" t="s">
        <v>1085</v>
      </c>
      <c r="E780" t="s">
        <v>47</v>
      </c>
      <c r="F780" t="s">
        <v>322</v>
      </c>
      <c r="G780" s="1">
        <f>45749</f>
        <v>45749</v>
      </c>
      <c r="H780" t="s">
        <v>2422</v>
      </c>
      <c r="I780" s="2">
        <v>4854.6000000000004</v>
      </c>
      <c r="J780" s="2">
        <v>3088.63</v>
      </c>
      <c r="K780" s="2">
        <v>1765.97</v>
      </c>
      <c r="L780" s="2">
        <v>36.380000000000003</v>
      </c>
      <c r="M780" s="2">
        <v>4854.6000000000004</v>
      </c>
      <c r="N780" s="2">
        <v>3065.43</v>
      </c>
      <c r="O780" s="2">
        <v>1705.15</v>
      </c>
      <c r="P780" s="2">
        <v>36.86</v>
      </c>
    </row>
    <row r="781" spans="1:16" x14ac:dyDescent="0.25">
      <c r="A781" t="s">
        <v>15</v>
      </c>
      <c r="B781" t="s">
        <v>907</v>
      </c>
      <c r="C781" t="s">
        <v>17</v>
      </c>
      <c r="D781" t="s">
        <v>1086</v>
      </c>
      <c r="E781" t="s">
        <v>47</v>
      </c>
      <c r="F781" t="s">
        <v>322</v>
      </c>
      <c r="G781" s="1">
        <f>45749</f>
        <v>45749</v>
      </c>
      <c r="H781" t="s">
        <v>2422</v>
      </c>
      <c r="I781" s="2">
        <v>1297.6400000000001</v>
      </c>
      <c r="J781" s="2">
        <v>853.1</v>
      </c>
      <c r="K781" s="2">
        <v>444.54</v>
      </c>
      <c r="L781" s="2">
        <v>34.26</v>
      </c>
      <c r="M781" s="2">
        <v>1297.6400000000001</v>
      </c>
      <c r="N781" s="2">
        <v>853.12</v>
      </c>
      <c r="O781" s="2">
        <v>385.52</v>
      </c>
      <c r="P781" s="2">
        <v>34.26</v>
      </c>
    </row>
    <row r="782" spans="1:16" x14ac:dyDescent="0.25">
      <c r="A782" t="s">
        <v>15</v>
      </c>
      <c r="B782" t="s">
        <v>907</v>
      </c>
      <c r="C782" t="s">
        <v>17</v>
      </c>
      <c r="D782" t="s">
        <v>1087</v>
      </c>
      <c r="E782" t="s">
        <v>47</v>
      </c>
      <c r="F782" t="s">
        <v>326</v>
      </c>
      <c r="G782" s="1">
        <f>45749</f>
        <v>45749</v>
      </c>
      <c r="H782" t="s">
        <v>2422</v>
      </c>
      <c r="I782" s="2">
        <v>2438.6999999999998</v>
      </c>
      <c r="J782" s="2">
        <v>1696.84</v>
      </c>
      <c r="K782" s="2">
        <v>741.86</v>
      </c>
      <c r="L782" s="2">
        <v>30.42</v>
      </c>
      <c r="M782" s="2">
        <v>2438.6999999999998</v>
      </c>
      <c r="N782" s="2">
        <v>1696.84</v>
      </c>
      <c r="O782" s="2">
        <v>693.88</v>
      </c>
      <c r="P782" s="2">
        <v>30.42</v>
      </c>
    </row>
    <row r="783" spans="1:16" x14ac:dyDescent="0.25">
      <c r="A783" t="s">
        <v>15</v>
      </c>
      <c r="B783" t="s">
        <v>907</v>
      </c>
      <c r="C783" t="s">
        <v>17</v>
      </c>
      <c r="D783" t="s">
        <v>1088</v>
      </c>
      <c r="E783" t="s">
        <v>47</v>
      </c>
      <c r="F783" t="s">
        <v>316</v>
      </c>
      <c r="G783" s="1">
        <f>45749</f>
        <v>45749</v>
      </c>
      <c r="H783" t="s">
        <v>2422</v>
      </c>
      <c r="I783" s="2">
        <v>684.43</v>
      </c>
      <c r="J783" s="2">
        <v>454.61</v>
      </c>
      <c r="K783" s="2">
        <v>229.82</v>
      </c>
      <c r="L783" s="2">
        <v>33.58</v>
      </c>
      <c r="M783" s="2">
        <v>684.43</v>
      </c>
      <c r="N783" s="2">
        <v>454.6</v>
      </c>
      <c r="O783" s="2">
        <v>194.83</v>
      </c>
      <c r="P783" s="2">
        <v>33.58</v>
      </c>
    </row>
    <row r="784" spans="1:16" x14ac:dyDescent="0.25">
      <c r="A784" t="s">
        <v>15</v>
      </c>
      <c r="B784" t="s">
        <v>907</v>
      </c>
      <c r="C784" t="s">
        <v>17</v>
      </c>
      <c r="D784" t="s">
        <v>1089</v>
      </c>
      <c r="E784" t="s">
        <v>47</v>
      </c>
      <c r="F784" t="s">
        <v>1090</v>
      </c>
      <c r="G784" s="1">
        <f>45751</f>
        <v>45751</v>
      </c>
      <c r="H784" t="s">
        <v>2422</v>
      </c>
      <c r="I784" s="2">
        <v>1095.8</v>
      </c>
      <c r="J784" s="2">
        <v>687.69</v>
      </c>
      <c r="K784" s="2">
        <v>408.11</v>
      </c>
      <c r="L784" s="2">
        <v>37.24</v>
      </c>
      <c r="M784" s="2">
        <v>1095.8</v>
      </c>
      <c r="N784" s="2">
        <v>687.69</v>
      </c>
      <c r="O784" s="2">
        <v>377.86</v>
      </c>
      <c r="P784" s="2">
        <v>37.24</v>
      </c>
    </row>
    <row r="785" spans="1:16" x14ac:dyDescent="0.25">
      <c r="A785" t="s">
        <v>15</v>
      </c>
      <c r="B785" t="s">
        <v>907</v>
      </c>
      <c r="C785" t="s">
        <v>17</v>
      </c>
      <c r="D785" t="s">
        <v>1091</v>
      </c>
      <c r="E785" t="s">
        <v>47</v>
      </c>
      <c r="F785" t="s">
        <v>108</v>
      </c>
      <c r="G785" s="1">
        <f>45754</f>
        <v>45754</v>
      </c>
      <c r="H785" t="s">
        <v>2422</v>
      </c>
      <c r="I785" s="2">
        <v>1665</v>
      </c>
      <c r="J785" s="2">
        <v>1206.96</v>
      </c>
      <c r="K785" s="2">
        <v>458.04</v>
      </c>
      <c r="L785" s="2">
        <v>27.51</v>
      </c>
      <c r="M785" s="2">
        <v>1665</v>
      </c>
      <c r="N785" s="2">
        <v>1206.96</v>
      </c>
      <c r="O785" s="2">
        <v>440.04</v>
      </c>
      <c r="P785" s="2">
        <v>27.51</v>
      </c>
    </row>
    <row r="786" spans="1:16" x14ac:dyDescent="0.25">
      <c r="A786" t="s">
        <v>15</v>
      </c>
      <c r="B786" t="s">
        <v>907</v>
      </c>
      <c r="C786" t="s">
        <v>17</v>
      </c>
      <c r="D786" t="s">
        <v>1092</v>
      </c>
      <c r="E786" t="s">
        <v>47</v>
      </c>
      <c r="F786" t="s">
        <v>333</v>
      </c>
      <c r="G786" s="1">
        <f>45756</f>
        <v>45756</v>
      </c>
      <c r="H786" t="s">
        <v>2422</v>
      </c>
      <c r="I786" s="2">
        <v>2300</v>
      </c>
      <c r="J786" s="2">
        <v>1610.4</v>
      </c>
      <c r="K786" s="2">
        <v>689.6</v>
      </c>
      <c r="L786" s="2">
        <v>29.98</v>
      </c>
      <c r="M786" s="2">
        <v>2300</v>
      </c>
      <c r="N786" s="2">
        <v>1610.4</v>
      </c>
      <c r="O786" s="2">
        <v>634.6</v>
      </c>
      <c r="P786" s="2">
        <v>29.98</v>
      </c>
    </row>
    <row r="787" spans="1:16" x14ac:dyDescent="0.25">
      <c r="A787" t="s">
        <v>15</v>
      </c>
      <c r="B787" t="s">
        <v>907</v>
      </c>
      <c r="C787" t="s">
        <v>17</v>
      </c>
      <c r="D787" t="s">
        <v>1093</v>
      </c>
      <c r="E787" t="s">
        <v>47</v>
      </c>
      <c r="F787" t="s">
        <v>1094</v>
      </c>
      <c r="G787" s="1">
        <f>45757</f>
        <v>45757</v>
      </c>
      <c r="H787" t="s">
        <v>2422</v>
      </c>
      <c r="I787" s="2">
        <v>5522.9</v>
      </c>
      <c r="J787" s="2">
        <v>4307.83</v>
      </c>
      <c r="K787" s="2">
        <v>1215.07</v>
      </c>
      <c r="L787" s="2">
        <v>22</v>
      </c>
      <c r="M787" s="2">
        <v>5522.9</v>
      </c>
      <c r="N787" s="2">
        <v>4307.83</v>
      </c>
      <c r="O787" s="2">
        <v>1215.07</v>
      </c>
      <c r="P787" s="2">
        <v>22</v>
      </c>
    </row>
    <row r="788" spans="1:16" x14ac:dyDescent="0.25">
      <c r="A788" t="s">
        <v>15</v>
      </c>
      <c r="B788" t="s">
        <v>907</v>
      </c>
      <c r="C788" t="s">
        <v>17</v>
      </c>
      <c r="D788" t="s">
        <v>1095</v>
      </c>
      <c r="E788" t="s">
        <v>47</v>
      </c>
      <c r="F788" t="s">
        <v>115</v>
      </c>
      <c r="G788" s="1">
        <f>45758</f>
        <v>45758</v>
      </c>
      <c r="H788" t="s">
        <v>2422</v>
      </c>
      <c r="I788" s="2">
        <v>381.5</v>
      </c>
      <c r="J788" s="2">
        <v>274.27</v>
      </c>
      <c r="K788" s="2">
        <v>107.23</v>
      </c>
      <c r="L788" s="2">
        <v>28.11</v>
      </c>
      <c r="M788" s="2">
        <v>381.5</v>
      </c>
      <c r="N788" s="2">
        <v>252.7</v>
      </c>
      <c r="O788" s="2">
        <v>78.8</v>
      </c>
      <c r="P788" s="2">
        <v>33.76</v>
      </c>
    </row>
    <row r="789" spans="1:16" x14ac:dyDescent="0.25">
      <c r="A789" t="s">
        <v>15</v>
      </c>
      <c r="B789" t="s">
        <v>907</v>
      </c>
      <c r="C789" t="s">
        <v>17</v>
      </c>
      <c r="D789" t="s">
        <v>1096</v>
      </c>
      <c r="E789" t="s">
        <v>47</v>
      </c>
      <c r="F789" t="s">
        <v>333</v>
      </c>
      <c r="G789" s="1">
        <f>45758</f>
        <v>45758</v>
      </c>
      <c r="H789" t="s">
        <v>2422</v>
      </c>
      <c r="I789" s="2">
        <v>2123.44</v>
      </c>
      <c r="J789" s="2">
        <v>1444.2</v>
      </c>
      <c r="K789" s="2">
        <v>679.24</v>
      </c>
      <c r="L789" s="2">
        <v>31.99</v>
      </c>
      <c r="M789" s="2">
        <v>2123.44</v>
      </c>
      <c r="N789" s="2">
        <v>1444.2</v>
      </c>
      <c r="O789" s="2">
        <v>623.24</v>
      </c>
      <c r="P789" s="2">
        <v>31.99</v>
      </c>
    </row>
    <row r="790" spans="1:16" x14ac:dyDescent="0.25">
      <c r="A790" t="s">
        <v>15</v>
      </c>
      <c r="B790" t="s">
        <v>907</v>
      </c>
      <c r="C790" t="s">
        <v>17</v>
      </c>
      <c r="D790" t="s">
        <v>1097</v>
      </c>
      <c r="E790" t="s">
        <v>47</v>
      </c>
      <c r="F790" t="s">
        <v>313</v>
      </c>
      <c r="G790" s="1">
        <f>45758</f>
        <v>45758</v>
      </c>
      <c r="H790" t="s">
        <v>2422</v>
      </c>
      <c r="I790" s="2">
        <v>7175.84</v>
      </c>
      <c r="J790" s="2">
        <v>5010.3599999999997</v>
      </c>
      <c r="K790" s="2">
        <v>2165.48</v>
      </c>
      <c r="L790" s="2">
        <v>30.18</v>
      </c>
      <c r="M790" s="2">
        <v>7175.84</v>
      </c>
      <c r="N790" s="2">
        <v>5010.3599999999997</v>
      </c>
      <c r="O790" s="2">
        <v>2126.48</v>
      </c>
      <c r="P790" s="2">
        <v>30.18</v>
      </c>
    </row>
    <row r="791" spans="1:16" x14ac:dyDescent="0.25">
      <c r="A791" t="s">
        <v>15</v>
      </c>
      <c r="B791" t="s">
        <v>907</v>
      </c>
      <c r="C791" t="s">
        <v>17</v>
      </c>
      <c r="D791" t="s">
        <v>1098</v>
      </c>
      <c r="E791" t="s">
        <v>47</v>
      </c>
      <c r="F791" t="s">
        <v>342</v>
      </c>
      <c r="G791" s="1">
        <f>45758</f>
        <v>45758</v>
      </c>
      <c r="H791" t="s">
        <v>2422</v>
      </c>
      <c r="I791" s="2">
        <v>1411.5</v>
      </c>
      <c r="J791" s="2">
        <v>909.99</v>
      </c>
      <c r="K791" s="2">
        <v>501.51</v>
      </c>
      <c r="L791" s="2">
        <v>35.53</v>
      </c>
      <c r="M791" s="2">
        <v>1411.5</v>
      </c>
      <c r="N791" s="2">
        <v>909.99</v>
      </c>
      <c r="O791" s="2">
        <v>493.39</v>
      </c>
      <c r="P791" s="2">
        <v>35.53</v>
      </c>
    </row>
    <row r="792" spans="1:16" x14ac:dyDescent="0.25">
      <c r="A792" t="s">
        <v>15</v>
      </c>
      <c r="B792" t="s">
        <v>907</v>
      </c>
      <c r="C792" t="s">
        <v>17</v>
      </c>
      <c r="D792" t="s">
        <v>1099</v>
      </c>
      <c r="E792" t="s">
        <v>47</v>
      </c>
      <c r="F792" t="s">
        <v>337</v>
      </c>
      <c r="G792" s="1">
        <f>45758</f>
        <v>45758</v>
      </c>
      <c r="H792" t="s">
        <v>1100</v>
      </c>
      <c r="I792" s="2">
        <v>1838.24</v>
      </c>
      <c r="J792" s="2">
        <v>1250</v>
      </c>
      <c r="K792" s="2">
        <v>588.24</v>
      </c>
      <c r="L792" s="2">
        <v>32</v>
      </c>
      <c r="M792" s="2">
        <v>1838.24</v>
      </c>
      <c r="N792" s="2">
        <v>1250</v>
      </c>
      <c r="O792" s="2">
        <v>420.24</v>
      </c>
      <c r="P792" s="2">
        <v>32</v>
      </c>
    </row>
    <row r="793" spans="1:16" x14ac:dyDescent="0.25">
      <c r="A793" t="s">
        <v>15</v>
      </c>
      <c r="B793" t="s">
        <v>907</v>
      </c>
      <c r="C793" t="s">
        <v>17</v>
      </c>
      <c r="D793" t="s">
        <v>1101</v>
      </c>
      <c r="E793" t="s">
        <v>47</v>
      </c>
      <c r="F793" t="s">
        <v>1102</v>
      </c>
      <c r="G793" s="1">
        <f>45761</f>
        <v>45761</v>
      </c>
      <c r="H793" t="s">
        <v>2422</v>
      </c>
      <c r="I793" s="2">
        <v>264</v>
      </c>
      <c r="J793" s="2">
        <v>157.86000000000001</v>
      </c>
      <c r="K793" s="2">
        <v>106.14</v>
      </c>
      <c r="L793" s="2">
        <v>40.200000000000003</v>
      </c>
      <c r="M793" s="2">
        <v>264</v>
      </c>
      <c r="N793" s="2">
        <v>157.87</v>
      </c>
      <c r="O793" s="2">
        <v>104.73</v>
      </c>
      <c r="P793" s="2">
        <v>40.200000000000003</v>
      </c>
    </row>
    <row r="794" spans="1:16" x14ac:dyDescent="0.25">
      <c r="A794" t="s">
        <v>15</v>
      </c>
      <c r="B794" t="s">
        <v>907</v>
      </c>
      <c r="C794" t="s">
        <v>17</v>
      </c>
      <c r="D794" t="s">
        <v>1103</v>
      </c>
      <c r="E794" t="s">
        <v>47</v>
      </c>
      <c r="F794" t="s">
        <v>322</v>
      </c>
      <c r="G794" s="1">
        <f>45762</f>
        <v>45762</v>
      </c>
      <c r="H794" t="s">
        <v>2422</v>
      </c>
      <c r="I794" s="2">
        <v>1435.5</v>
      </c>
      <c r="J794" s="2">
        <v>664.21</v>
      </c>
      <c r="K794" s="2">
        <v>771.29</v>
      </c>
      <c r="L794" s="2">
        <v>53.73</v>
      </c>
      <c r="M794" s="2">
        <v>1435.5</v>
      </c>
      <c r="N794" s="2">
        <v>664.21</v>
      </c>
      <c r="O794" s="2">
        <v>756.85</v>
      </c>
      <c r="P794" s="2">
        <v>53.73</v>
      </c>
    </row>
    <row r="795" spans="1:16" x14ac:dyDescent="0.25">
      <c r="A795" t="s">
        <v>15</v>
      </c>
      <c r="B795" t="s">
        <v>907</v>
      </c>
      <c r="C795" t="s">
        <v>17</v>
      </c>
      <c r="D795" t="s">
        <v>1104</v>
      </c>
      <c r="E795" t="s">
        <v>47</v>
      </c>
      <c r="F795" t="s">
        <v>313</v>
      </c>
      <c r="G795" s="1">
        <f>45762</f>
        <v>45762</v>
      </c>
      <c r="H795" t="s">
        <v>2422</v>
      </c>
      <c r="I795" s="2">
        <v>1731.24</v>
      </c>
      <c r="J795" s="2">
        <v>1227.97</v>
      </c>
      <c r="K795" s="2">
        <v>503.27</v>
      </c>
      <c r="L795" s="2">
        <v>29.07</v>
      </c>
      <c r="M795" s="2">
        <v>1731.24</v>
      </c>
      <c r="N795" s="2">
        <v>1227.97</v>
      </c>
      <c r="O795" s="2">
        <v>464.27</v>
      </c>
      <c r="P795" s="2">
        <v>29.07</v>
      </c>
    </row>
    <row r="796" spans="1:16" x14ac:dyDescent="0.25">
      <c r="A796" t="s">
        <v>15</v>
      </c>
      <c r="B796" t="s">
        <v>907</v>
      </c>
      <c r="C796" t="s">
        <v>17</v>
      </c>
      <c r="D796" t="s">
        <v>1105</v>
      </c>
      <c r="E796" t="s">
        <v>47</v>
      </c>
      <c r="F796" t="s">
        <v>348</v>
      </c>
      <c r="G796" s="1">
        <f>45762</f>
        <v>45762</v>
      </c>
      <c r="H796" t="s">
        <v>2422</v>
      </c>
      <c r="I796" s="2">
        <v>775.4</v>
      </c>
      <c r="J796" s="2">
        <v>494.47</v>
      </c>
      <c r="K796" s="2">
        <v>280.93</v>
      </c>
      <c r="L796" s="2">
        <v>36.229999999999997</v>
      </c>
      <c r="M796" s="2">
        <v>775.4</v>
      </c>
      <c r="N796" s="2">
        <v>494.47</v>
      </c>
      <c r="O796" s="2">
        <v>280.93</v>
      </c>
      <c r="P796" s="2">
        <v>36.229999999999997</v>
      </c>
    </row>
    <row r="797" spans="1:16" x14ac:dyDescent="0.25">
      <c r="A797" t="s">
        <v>15</v>
      </c>
      <c r="B797" t="s">
        <v>907</v>
      </c>
      <c r="C797" t="s">
        <v>17</v>
      </c>
      <c r="D797" t="s">
        <v>1106</v>
      </c>
      <c r="E797" t="s">
        <v>47</v>
      </c>
      <c r="F797" t="s">
        <v>326</v>
      </c>
      <c r="G797" s="1">
        <f>45763</f>
        <v>45763</v>
      </c>
      <c r="H797" t="s">
        <v>2422</v>
      </c>
      <c r="I797" s="2">
        <v>2663.2</v>
      </c>
      <c r="J797" s="2">
        <v>1803.92</v>
      </c>
      <c r="K797" s="2">
        <v>859.28</v>
      </c>
      <c r="L797" s="2">
        <v>32.26</v>
      </c>
      <c r="M797" s="2">
        <v>2663.2</v>
      </c>
      <c r="N797" s="2">
        <v>1803.92</v>
      </c>
      <c r="O797" s="2">
        <v>742.28</v>
      </c>
      <c r="P797" s="2">
        <v>32.26</v>
      </c>
    </row>
    <row r="798" spans="1:16" x14ac:dyDescent="0.25">
      <c r="A798" t="s">
        <v>15</v>
      </c>
      <c r="B798" t="s">
        <v>907</v>
      </c>
      <c r="C798" t="s">
        <v>17</v>
      </c>
      <c r="D798" t="s">
        <v>1107</v>
      </c>
      <c r="E798" t="s">
        <v>47</v>
      </c>
      <c r="F798" t="s">
        <v>318</v>
      </c>
      <c r="G798" s="1">
        <f>45764</f>
        <v>45764</v>
      </c>
      <c r="H798" t="s">
        <v>2422</v>
      </c>
      <c r="I798" s="2">
        <v>697</v>
      </c>
      <c r="J798" s="2">
        <v>149.6</v>
      </c>
      <c r="K798" s="2">
        <v>547.4</v>
      </c>
      <c r="L798" s="2">
        <v>78.540000000000006</v>
      </c>
      <c r="M798" s="2">
        <v>697</v>
      </c>
      <c r="N798" s="2">
        <v>149.6</v>
      </c>
      <c r="O798" s="2">
        <v>521.4</v>
      </c>
      <c r="P798" s="2">
        <v>78.540000000000006</v>
      </c>
    </row>
    <row r="799" spans="1:16" x14ac:dyDescent="0.25">
      <c r="A799" t="s">
        <v>15</v>
      </c>
      <c r="B799" t="s">
        <v>907</v>
      </c>
      <c r="C799" t="s">
        <v>17</v>
      </c>
      <c r="D799" t="s">
        <v>1108</v>
      </c>
      <c r="E799" t="s">
        <v>47</v>
      </c>
      <c r="F799" t="s">
        <v>337</v>
      </c>
      <c r="G799" s="1">
        <f>45769</f>
        <v>45769</v>
      </c>
      <c r="H799" t="s">
        <v>2422</v>
      </c>
      <c r="I799" s="2">
        <v>554</v>
      </c>
      <c r="J799" s="2">
        <v>255.21</v>
      </c>
      <c r="K799" s="2">
        <v>298.79000000000002</v>
      </c>
      <c r="L799" s="2">
        <v>53.93</v>
      </c>
      <c r="M799" s="2">
        <v>554</v>
      </c>
      <c r="N799" s="2">
        <v>255.21</v>
      </c>
      <c r="O799" s="2">
        <v>289.79000000000002</v>
      </c>
      <c r="P799" s="2">
        <v>53.93</v>
      </c>
    </row>
    <row r="800" spans="1:16" x14ac:dyDescent="0.25">
      <c r="A800" t="s">
        <v>15</v>
      </c>
      <c r="B800" t="s">
        <v>907</v>
      </c>
      <c r="C800" t="s">
        <v>17</v>
      </c>
      <c r="D800" t="s">
        <v>1109</v>
      </c>
      <c r="E800" t="s">
        <v>47</v>
      </c>
      <c r="F800" t="s">
        <v>1110</v>
      </c>
      <c r="G800" s="1">
        <f>45769</f>
        <v>45769</v>
      </c>
      <c r="H800" t="s">
        <v>2422</v>
      </c>
      <c r="I800" s="2">
        <v>2171.54</v>
      </c>
      <c r="J800" s="2">
        <v>1280.1300000000001</v>
      </c>
      <c r="K800" s="2">
        <v>891.41</v>
      </c>
      <c r="L800" s="2">
        <v>41.05</v>
      </c>
      <c r="M800" s="2">
        <v>2171.54</v>
      </c>
      <c r="N800" s="2">
        <v>1280.1300000000001</v>
      </c>
      <c r="O800" s="2">
        <v>851.41</v>
      </c>
      <c r="P800" s="2">
        <v>41.05</v>
      </c>
    </row>
    <row r="801" spans="1:16" x14ac:dyDescent="0.25">
      <c r="A801" t="s">
        <v>15</v>
      </c>
      <c r="B801" t="s">
        <v>907</v>
      </c>
      <c r="C801" t="s">
        <v>17</v>
      </c>
      <c r="D801" t="s">
        <v>1111</v>
      </c>
      <c r="E801" t="s">
        <v>47</v>
      </c>
      <c r="F801" t="s">
        <v>613</v>
      </c>
      <c r="G801" s="1">
        <f>45770</f>
        <v>45770</v>
      </c>
      <c r="H801" t="s">
        <v>2422</v>
      </c>
      <c r="I801" s="2">
        <v>2315</v>
      </c>
      <c r="J801" s="2">
        <v>1565.48</v>
      </c>
      <c r="K801" s="2">
        <v>749.52</v>
      </c>
      <c r="L801" s="2">
        <v>32.380000000000003</v>
      </c>
      <c r="M801" s="2">
        <v>2315</v>
      </c>
      <c r="N801" s="2">
        <v>1565.48</v>
      </c>
      <c r="O801" s="2">
        <v>687.4</v>
      </c>
      <c r="P801" s="2">
        <v>32.380000000000003</v>
      </c>
    </row>
    <row r="802" spans="1:16" x14ac:dyDescent="0.25">
      <c r="A802" t="s">
        <v>15</v>
      </c>
      <c r="B802" t="s">
        <v>907</v>
      </c>
      <c r="C802" t="s">
        <v>17</v>
      </c>
      <c r="D802" t="s">
        <v>1112</v>
      </c>
      <c r="E802" t="s">
        <v>47</v>
      </c>
      <c r="F802" t="s">
        <v>613</v>
      </c>
      <c r="G802" s="1">
        <f>45770</f>
        <v>45770</v>
      </c>
      <c r="H802" t="s">
        <v>2422</v>
      </c>
      <c r="I802" s="2">
        <v>294.35000000000002</v>
      </c>
      <c r="J802" s="2">
        <v>171.61</v>
      </c>
      <c r="K802" s="2">
        <v>122.74</v>
      </c>
      <c r="L802" s="2">
        <v>41.7</v>
      </c>
      <c r="M802" s="2">
        <v>294.35000000000002</v>
      </c>
      <c r="N802" s="2">
        <v>171.61</v>
      </c>
      <c r="O802" s="2">
        <v>112.74</v>
      </c>
      <c r="P802" s="2">
        <v>41.7</v>
      </c>
    </row>
    <row r="803" spans="1:16" x14ac:dyDescent="0.25">
      <c r="A803" t="s">
        <v>15</v>
      </c>
      <c r="B803" t="s">
        <v>907</v>
      </c>
      <c r="C803" t="s">
        <v>17</v>
      </c>
      <c r="D803" t="s">
        <v>1113</v>
      </c>
      <c r="E803" t="s">
        <v>47</v>
      </c>
      <c r="F803" t="s">
        <v>328</v>
      </c>
      <c r="G803" s="1">
        <f>45770</f>
        <v>45770</v>
      </c>
      <c r="H803" t="s">
        <v>2422</v>
      </c>
      <c r="I803" s="2">
        <v>194</v>
      </c>
      <c r="J803" s="2">
        <v>146</v>
      </c>
      <c r="K803" s="2">
        <v>48</v>
      </c>
      <c r="L803" s="2">
        <v>24.74</v>
      </c>
      <c r="M803" s="2">
        <v>194</v>
      </c>
      <c r="N803" s="2">
        <v>146</v>
      </c>
      <c r="O803" s="2">
        <v>19</v>
      </c>
      <c r="P803" s="2">
        <v>24.74</v>
      </c>
    </row>
    <row r="804" spans="1:16" x14ac:dyDescent="0.25">
      <c r="A804" t="s">
        <v>15</v>
      </c>
      <c r="B804" t="s">
        <v>907</v>
      </c>
      <c r="C804" t="s">
        <v>17</v>
      </c>
      <c r="D804" t="s">
        <v>1114</v>
      </c>
      <c r="E804" t="s">
        <v>47</v>
      </c>
      <c r="F804" t="s">
        <v>339</v>
      </c>
      <c r="G804" s="1">
        <f>45771</f>
        <v>45771</v>
      </c>
      <c r="H804" t="s">
        <v>2422</v>
      </c>
      <c r="I804" s="2">
        <v>514</v>
      </c>
      <c r="J804" s="2">
        <v>328</v>
      </c>
      <c r="K804" s="2">
        <v>186</v>
      </c>
      <c r="L804" s="2">
        <v>36.19</v>
      </c>
      <c r="M804" s="2">
        <v>514</v>
      </c>
      <c r="N804" s="2">
        <v>328</v>
      </c>
      <c r="O804" s="2">
        <v>176</v>
      </c>
      <c r="P804" s="2">
        <v>36.19</v>
      </c>
    </row>
    <row r="805" spans="1:16" x14ac:dyDescent="0.25">
      <c r="A805" t="s">
        <v>15</v>
      </c>
      <c r="B805" t="s">
        <v>907</v>
      </c>
      <c r="C805" t="s">
        <v>17</v>
      </c>
      <c r="D805" t="s">
        <v>1115</v>
      </c>
      <c r="E805" t="s">
        <v>47</v>
      </c>
      <c r="F805" t="s">
        <v>320</v>
      </c>
      <c r="G805" s="1">
        <f>45771</f>
        <v>45771</v>
      </c>
      <c r="H805" t="s">
        <v>2422</v>
      </c>
      <c r="I805" s="2">
        <v>589</v>
      </c>
      <c r="J805" s="2">
        <v>394.54</v>
      </c>
      <c r="K805" s="2">
        <v>194.46</v>
      </c>
      <c r="L805" s="2">
        <v>33.020000000000003</v>
      </c>
      <c r="M805" s="2">
        <v>589</v>
      </c>
      <c r="N805" s="2">
        <v>394.54</v>
      </c>
      <c r="O805" s="2">
        <v>160.46</v>
      </c>
      <c r="P805" s="2">
        <v>33.020000000000003</v>
      </c>
    </row>
    <row r="806" spans="1:16" x14ac:dyDescent="0.25">
      <c r="A806" t="s">
        <v>15</v>
      </c>
      <c r="B806" t="s">
        <v>907</v>
      </c>
      <c r="C806" t="s">
        <v>17</v>
      </c>
      <c r="D806" t="s">
        <v>1116</v>
      </c>
      <c r="E806" t="s">
        <v>47</v>
      </c>
      <c r="F806" t="s">
        <v>617</v>
      </c>
      <c r="G806" s="1">
        <f>45771</f>
        <v>45771</v>
      </c>
      <c r="H806" t="s">
        <v>2422</v>
      </c>
      <c r="I806" s="2">
        <v>483.21</v>
      </c>
      <c r="J806" s="2">
        <v>325.24</v>
      </c>
      <c r="K806" s="2">
        <v>157.97</v>
      </c>
      <c r="L806" s="2">
        <v>32.69</v>
      </c>
      <c r="M806" s="2">
        <v>483.21</v>
      </c>
      <c r="N806" s="2">
        <v>325.24</v>
      </c>
      <c r="O806" s="2">
        <v>157.97</v>
      </c>
      <c r="P806" s="2">
        <v>32.69</v>
      </c>
    </row>
    <row r="807" spans="1:16" x14ac:dyDescent="0.25">
      <c r="A807" t="s">
        <v>15</v>
      </c>
      <c r="B807" t="s">
        <v>907</v>
      </c>
      <c r="C807" t="s">
        <v>17</v>
      </c>
      <c r="D807" t="s">
        <v>1117</v>
      </c>
      <c r="E807" t="s">
        <v>47</v>
      </c>
      <c r="F807" t="s">
        <v>889</v>
      </c>
      <c r="G807" s="1">
        <f>45772</f>
        <v>45772</v>
      </c>
      <c r="H807" t="s">
        <v>2422</v>
      </c>
      <c r="I807" s="2">
        <v>707</v>
      </c>
      <c r="J807" s="2">
        <v>463.66</v>
      </c>
      <c r="K807" s="2">
        <v>243.34</v>
      </c>
      <c r="L807" s="2">
        <v>34.42</v>
      </c>
      <c r="M807" s="2">
        <v>707</v>
      </c>
      <c r="N807" s="2">
        <v>463.66</v>
      </c>
      <c r="O807" s="2">
        <v>191.84</v>
      </c>
      <c r="P807" s="2">
        <v>34.42</v>
      </c>
    </row>
    <row r="808" spans="1:16" x14ac:dyDescent="0.25">
      <c r="A808" t="s">
        <v>15</v>
      </c>
      <c r="B808" t="s">
        <v>907</v>
      </c>
      <c r="C808" t="s">
        <v>17</v>
      </c>
      <c r="D808" t="s">
        <v>1118</v>
      </c>
      <c r="E808" t="s">
        <v>47</v>
      </c>
      <c r="F808" t="s">
        <v>320</v>
      </c>
      <c r="G808" s="1">
        <f>45770</f>
        <v>45770</v>
      </c>
      <c r="H808" t="s">
        <v>2422</v>
      </c>
      <c r="I808" s="2">
        <v>2578.3000000000002</v>
      </c>
      <c r="J808" s="2">
        <v>1667.05</v>
      </c>
      <c r="K808" s="2">
        <v>911.25</v>
      </c>
      <c r="L808" s="2">
        <v>35.340000000000003</v>
      </c>
      <c r="M808" s="2">
        <v>2578.3000000000002</v>
      </c>
      <c r="N808" s="2">
        <v>1667.05</v>
      </c>
      <c r="O808" s="2">
        <v>647.25</v>
      </c>
      <c r="P808" s="2">
        <v>35.340000000000003</v>
      </c>
    </row>
    <row r="809" spans="1:16" x14ac:dyDescent="0.25">
      <c r="A809" t="s">
        <v>15</v>
      </c>
      <c r="B809" t="s">
        <v>1119</v>
      </c>
      <c r="C809" t="s">
        <v>17</v>
      </c>
      <c r="D809" t="s">
        <v>1120</v>
      </c>
      <c r="E809" t="s">
        <v>47</v>
      </c>
      <c r="F809" t="s">
        <v>655</v>
      </c>
      <c r="G809" s="1">
        <f>45803</f>
        <v>45803</v>
      </c>
      <c r="H809" t="s">
        <v>2422</v>
      </c>
      <c r="I809" s="2">
        <v>368.6</v>
      </c>
      <c r="J809" s="2">
        <v>182.3</v>
      </c>
      <c r="K809" s="2">
        <v>186.3</v>
      </c>
      <c r="L809" s="2">
        <v>50.54</v>
      </c>
      <c r="M809" s="2">
        <v>368.6</v>
      </c>
      <c r="N809" s="2">
        <v>188.06</v>
      </c>
      <c r="O809" s="2">
        <v>171.54</v>
      </c>
      <c r="P809" s="2">
        <v>48.98</v>
      </c>
    </row>
    <row r="810" spans="1:16" x14ac:dyDescent="0.25">
      <c r="A810" t="s">
        <v>15</v>
      </c>
      <c r="B810" t="s">
        <v>1119</v>
      </c>
      <c r="C810" t="s">
        <v>17</v>
      </c>
      <c r="D810" t="s">
        <v>1121</v>
      </c>
      <c r="E810" t="s">
        <v>47</v>
      </c>
      <c r="F810" t="s">
        <v>1122</v>
      </c>
      <c r="G810" s="1">
        <f>45783</f>
        <v>45783</v>
      </c>
      <c r="H810" t="s">
        <v>2422</v>
      </c>
      <c r="I810" s="2">
        <v>1459</v>
      </c>
      <c r="J810" s="2">
        <v>1016.36</v>
      </c>
      <c r="K810" s="2">
        <v>442.64</v>
      </c>
      <c r="L810" s="2">
        <v>30.34</v>
      </c>
      <c r="M810" s="2">
        <v>1459</v>
      </c>
      <c r="N810" s="2">
        <v>1016.36</v>
      </c>
      <c r="O810" s="2">
        <v>402.64</v>
      </c>
      <c r="P810" s="2">
        <v>30.34</v>
      </c>
    </row>
    <row r="811" spans="1:16" x14ac:dyDescent="0.25">
      <c r="A811" t="s">
        <v>15</v>
      </c>
      <c r="B811" t="s">
        <v>1119</v>
      </c>
      <c r="C811" t="s">
        <v>17</v>
      </c>
      <c r="D811" t="s">
        <v>1123</v>
      </c>
      <c r="E811" t="s">
        <v>47</v>
      </c>
      <c r="F811" t="s">
        <v>388</v>
      </c>
      <c r="G811" s="1">
        <f>45784</f>
        <v>45784</v>
      </c>
      <c r="H811" t="s">
        <v>2422</v>
      </c>
      <c r="I811" s="2">
        <v>498</v>
      </c>
      <c r="J811" s="2">
        <v>332.7</v>
      </c>
      <c r="K811" s="2">
        <v>165.3</v>
      </c>
      <c r="L811" s="2">
        <v>33.19</v>
      </c>
      <c r="M811" s="2">
        <v>498</v>
      </c>
      <c r="N811" s="2">
        <v>332.7</v>
      </c>
      <c r="O811" s="2">
        <v>156.30000000000001</v>
      </c>
      <c r="P811" s="2">
        <v>33.19</v>
      </c>
    </row>
    <row r="812" spans="1:16" x14ac:dyDescent="0.25">
      <c r="A812" t="s">
        <v>15</v>
      </c>
      <c r="B812" t="s">
        <v>1119</v>
      </c>
      <c r="C812" t="s">
        <v>17</v>
      </c>
      <c r="D812" t="s">
        <v>1124</v>
      </c>
      <c r="E812" t="s">
        <v>47</v>
      </c>
      <c r="F812" t="s">
        <v>20</v>
      </c>
      <c r="G812" s="1">
        <f>45790</f>
        <v>45790</v>
      </c>
      <c r="H812" t="s">
        <v>2422</v>
      </c>
      <c r="I812" s="2">
        <v>861</v>
      </c>
      <c r="J812" s="2">
        <v>596.1</v>
      </c>
      <c r="K812" s="2">
        <v>264.89999999999998</v>
      </c>
      <c r="L812" s="2">
        <v>30.77</v>
      </c>
      <c r="M812" s="2">
        <v>861</v>
      </c>
      <c r="N812" s="2">
        <v>596.1</v>
      </c>
      <c r="O812" s="2">
        <v>238.8</v>
      </c>
      <c r="P812" s="2">
        <v>30.77</v>
      </c>
    </row>
    <row r="813" spans="1:16" x14ac:dyDescent="0.25">
      <c r="A813" t="s">
        <v>15</v>
      </c>
      <c r="B813" t="s">
        <v>1119</v>
      </c>
      <c r="C813" t="s">
        <v>17</v>
      </c>
      <c r="D813" t="s">
        <v>1125</v>
      </c>
      <c r="E813" t="s">
        <v>47</v>
      </c>
      <c r="F813" t="s">
        <v>33</v>
      </c>
      <c r="G813" s="1">
        <f>45792</f>
        <v>45792</v>
      </c>
      <c r="H813" t="s">
        <v>2422</v>
      </c>
      <c r="I813" s="2">
        <v>1960.6</v>
      </c>
      <c r="J813" s="2">
        <v>1341.8</v>
      </c>
      <c r="K813" s="2">
        <v>618.79999999999995</v>
      </c>
      <c r="L813" s="2">
        <v>31.56</v>
      </c>
      <c r="M813" s="2">
        <v>1960.6</v>
      </c>
      <c r="N813" s="2">
        <v>1341.8</v>
      </c>
      <c r="O813" s="2">
        <v>563.79999999999995</v>
      </c>
      <c r="P813" s="2">
        <v>31.56</v>
      </c>
    </row>
    <row r="814" spans="1:16" x14ac:dyDescent="0.25">
      <c r="A814" t="s">
        <v>15</v>
      </c>
      <c r="B814" t="s">
        <v>1119</v>
      </c>
      <c r="C814" t="s">
        <v>17</v>
      </c>
      <c r="D814" t="s">
        <v>1126</v>
      </c>
      <c r="E814" t="s">
        <v>47</v>
      </c>
      <c r="F814" t="s">
        <v>388</v>
      </c>
      <c r="G814" s="1">
        <f>45792</f>
        <v>45792</v>
      </c>
      <c r="H814" t="s">
        <v>2422</v>
      </c>
      <c r="I814" s="2">
        <v>209</v>
      </c>
      <c r="J814" s="2">
        <v>127.26</v>
      </c>
      <c r="K814" s="2">
        <v>81.739999999999995</v>
      </c>
      <c r="L814" s="2">
        <v>39.11</v>
      </c>
      <c r="M814" s="2">
        <v>209</v>
      </c>
      <c r="N814" s="2">
        <v>127.26</v>
      </c>
      <c r="O814" s="2">
        <v>71.739999999999995</v>
      </c>
      <c r="P814" s="2">
        <v>39.11</v>
      </c>
    </row>
    <row r="815" spans="1:16" x14ac:dyDescent="0.25">
      <c r="A815" t="s">
        <v>15</v>
      </c>
      <c r="B815" t="s">
        <v>1119</v>
      </c>
      <c r="C815" t="s">
        <v>17</v>
      </c>
      <c r="D815" t="s">
        <v>1127</v>
      </c>
      <c r="E815" t="s">
        <v>47</v>
      </c>
      <c r="F815" t="s">
        <v>1128</v>
      </c>
      <c r="G815" s="1">
        <f>45792</f>
        <v>45792</v>
      </c>
      <c r="H815" t="s">
        <v>2422</v>
      </c>
      <c r="I815" s="2">
        <v>283.89</v>
      </c>
      <c r="J815" s="2">
        <v>168.24</v>
      </c>
      <c r="K815" s="2">
        <v>115.65</v>
      </c>
      <c r="L815" s="2">
        <v>40.74</v>
      </c>
      <c r="M815" s="2">
        <v>283.89</v>
      </c>
      <c r="N815" s="2">
        <v>168.23</v>
      </c>
      <c r="O815" s="2">
        <v>61.66</v>
      </c>
      <c r="P815" s="2">
        <v>40.74</v>
      </c>
    </row>
    <row r="816" spans="1:16" x14ac:dyDescent="0.25">
      <c r="A816" t="s">
        <v>15</v>
      </c>
      <c r="B816" t="s">
        <v>1119</v>
      </c>
      <c r="C816" t="s">
        <v>17</v>
      </c>
      <c r="D816" t="s">
        <v>1129</v>
      </c>
      <c r="E816" t="s">
        <v>47</v>
      </c>
      <c r="F816" t="s">
        <v>35</v>
      </c>
      <c r="G816" s="1">
        <f>45797</f>
        <v>45797</v>
      </c>
      <c r="H816" t="s">
        <v>2422</v>
      </c>
      <c r="I816" s="2">
        <v>389.83</v>
      </c>
      <c r="J816" s="2">
        <v>245.5</v>
      </c>
      <c r="K816" s="2">
        <v>144.33000000000001</v>
      </c>
      <c r="L816" s="2">
        <v>37.020000000000003</v>
      </c>
      <c r="M816" s="2">
        <v>389.83</v>
      </c>
      <c r="N816" s="2">
        <v>245.5</v>
      </c>
      <c r="O816" s="2">
        <v>120.33</v>
      </c>
      <c r="P816" s="2">
        <v>37.020000000000003</v>
      </c>
    </row>
    <row r="817" spans="1:16" x14ac:dyDescent="0.25">
      <c r="A817" t="s">
        <v>15</v>
      </c>
      <c r="B817" t="s">
        <v>1119</v>
      </c>
      <c r="C817" t="s">
        <v>42</v>
      </c>
      <c r="D817" t="s">
        <v>1130</v>
      </c>
      <c r="E817" t="s">
        <v>47</v>
      </c>
      <c r="F817" t="s">
        <v>44</v>
      </c>
      <c r="G817" s="1">
        <f>45789</f>
        <v>45789</v>
      </c>
      <c r="H817" t="s">
        <v>2422</v>
      </c>
      <c r="I817" s="2">
        <v>1302</v>
      </c>
      <c r="J817" s="2">
        <v>846.89</v>
      </c>
      <c r="K817" s="2">
        <v>455.11</v>
      </c>
      <c r="L817" s="2">
        <v>34.950000000000003</v>
      </c>
      <c r="M817" s="2">
        <v>1302</v>
      </c>
      <c r="N817" s="2">
        <v>137</v>
      </c>
      <c r="O817" s="2">
        <v>1156</v>
      </c>
      <c r="P817" s="2">
        <v>89.48</v>
      </c>
    </row>
    <row r="818" spans="1:16" x14ac:dyDescent="0.25">
      <c r="A818" t="s">
        <v>15</v>
      </c>
      <c r="B818" t="s">
        <v>1119</v>
      </c>
      <c r="C818" t="s">
        <v>42</v>
      </c>
      <c r="D818" t="s">
        <v>1131</v>
      </c>
      <c r="E818" t="s">
        <v>47</v>
      </c>
      <c r="F818" t="s">
        <v>44</v>
      </c>
      <c r="G818" s="1">
        <f>45799</f>
        <v>45799</v>
      </c>
      <c r="H818" t="s">
        <v>2422</v>
      </c>
      <c r="I818" s="2">
        <v>2584</v>
      </c>
      <c r="J818" s="2">
        <v>1417.98</v>
      </c>
      <c r="K818" s="2">
        <v>1166.02</v>
      </c>
      <c r="L818" s="2">
        <v>45.12</v>
      </c>
      <c r="M818" s="2">
        <v>2584</v>
      </c>
      <c r="N818" s="2">
        <v>966.96</v>
      </c>
      <c r="O818" s="2">
        <v>1577.04</v>
      </c>
      <c r="P818" s="2">
        <v>62.58</v>
      </c>
    </row>
    <row r="819" spans="1:16" x14ac:dyDescent="0.25">
      <c r="A819" t="s">
        <v>15</v>
      </c>
      <c r="B819" t="s">
        <v>1119</v>
      </c>
      <c r="C819" t="s">
        <v>42</v>
      </c>
      <c r="D819" t="s">
        <v>1132</v>
      </c>
      <c r="E819" t="s">
        <v>47</v>
      </c>
      <c r="F819" t="s">
        <v>396</v>
      </c>
      <c r="G819" s="1">
        <f>45797</f>
        <v>45797</v>
      </c>
      <c r="H819" t="s">
        <v>2422</v>
      </c>
      <c r="I819" s="2">
        <v>10096.200000000001</v>
      </c>
      <c r="J819" s="2">
        <v>5591.05</v>
      </c>
      <c r="K819" s="2">
        <v>4505.1499999999996</v>
      </c>
      <c r="L819" s="2">
        <v>44.62</v>
      </c>
      <c r="M819" s="2">
        <v>10096.200000000001</v>
      </c>
      <c r="N819" s="2">
        <v>5591.05</v>
      </c>
      <c r="O819" s="2">
        <v>4450.1499999999996</v>
      </c>
      <c r="P819" s="2">
        <v>44.62</v>
      </c>
    </row>
    <row r="820" spans="1:16" x14ac:dyDescent="0.25">
      <c r="A820" t="s">
        <v>15</v>
      </c>
      <c r="B820" t="s">
        <v>1119</v>
      </c>
      <c r="C820" t="s">
        <v>42</v>
      </c>
      <c r="D820" t="s">
        <v>1133</v>
      </c>
      <c r="E820" t="s">
        <v>47</v>
      </c>
      <c r="F820" t="s">
        <v>44</v>
      </c>
      <c r="G820" s="1">
        <f>45805</f>
        <v>45805</v>
      </c>
      <c r="H820" t="s">
        <v>2422</v>
      </c>
      <c r="I820" s="2">
        <v>104</v>
      </c>
      <c r="J820" s="2">
        <v>62.8</v>
      </c>
      <c r="K820" s="2">
        <v>41.2</v>
      </c>
      <c r="L820" s="2">
        <v>39.619999999999997</v>
      </c>
      <c r="M820" s="2">
        <v>104</v>
      </c>
      <c r="N820" s="2">
        <v>62.8</v>
      </c>
      <c r="O820" s="2">
        <v>32.200000000000003</v>
      </c>
      <c r="P820" s="2">
        <v>39.619999999999997</v>
      </c>
    </row>
    <row r="821" spans="1:16" x14ac:dyDescent="0.25">
      <c r="A821" t="s">
        <v>15</v>
      </c>
      <c r="B821" t="s">
        <v>1119</v>
      </c>
      <c r="C821" t="s">
        <v>17</v>
      </c>
      <c r="D821" t="s">
        <v>1134</v>
      </c>
      <c r="E821" t="s">
        <v>19</v>
      </c>
      <c r="F821" t="s">
        <v>50</v>
      </c>
      <c r="G821" s="1">
        <f>45783</f>
        <v>45783</v>
      </c>
      <c r="H821" t="s">
        <v>51</v>
      </c>
      <c r="I821" s="2">
        <v>2082</v>
      </c>
      <c r="J821" s="2">
        <v>1415.95</v>
      </c>
      <c r="K821" s="2">
        <v>666.05</v>
      </c>
      <c r="L821" s="2">
        <v>31.99</v>
      </c>
      <c r="M821" s="2">
        <v>2082</v>
      </c>
      <c r="N821" s="2">
        <v>1415.95</v>
      </c>
      <c r="O821" s="2">
        <v>636.04999999999995</v>
      </c>
      <c r="P821" s="2">
        <v>31.99</v>
      </c>
    </row>
    <row r="822" spans="1:16" x14ac:dyDescent="0.25">
      <c r="A822" t="s">
        <v>15</v>
      </c>
      <c r="B822" t="s">
        <v>1119</v>
      </c>
      <c r="C822" t="s">
        <v>17</v>
      </c>
      <c r="D822" t="s">
        <v>1135</v>
      </c>
      <c r="E822" t="s">
        <v>19</v>
      </c>
      <c r="F822" t="s">
        <v>181</v>
      </c>
      <c r="G822" s="1">
        <f>45786</f>
        <v>45786</v>
      </c>
      <c r="H822" t="s">
        <v>51</v>
      </c>
      <c r="I822" s="2">
        <v>422.7</v>
      </c>
      <c r="J822" s="2">
        <v>280.42</v>
      </c>
      <c r="K822" s="2">
        <v>142.28</v>
      </c>
      <c r="L822" s="2">
        <v>33.659999999999997</v>
      </c>
      <c r="M822" s="2">
        <v>422.7</v>
      </c>
      <c r="N822" s="2">
        <v>280.42</v>
      </c>
      <c r="O822" s="2">
        <v>89.78</v>
      </c>
      <c r="P822" s="2">
        <v>33.659999999999997</v>
      </c>
    </row>
    <row r="823" spans="1:16" x14ac:dyDescent="0.25">
      <c r="A823" t="s">
        <v>15</v>
      </c>
      <c r="B823" t="s">
        <v>1119</v>
      </c>
      <c r="C823" t="s">
        <v>17</v>
      </c>
      <c r="D823" t="s">
        <v>1136</v>
      </c>
      <c r="E823" t="s">
        <v>19</v>
      </c>
      <c r="F823" t="s">
        <v>53</v>
      </c>
      <c r="G823" s="1">
        <f>45790</f>
        <v>45790</v>
      </c>
      <c r="H823" t="s">
        <v>51</v>
      </c>
      <c r="I823" s="2">
        <v>233.4</v>
      </c>
      <c r="J823" s="2">
        <v>152.76</v>
      </c>
      <c r="K823" s="2">
        <v>80.64</v>
      </c>
      <c r="L823" s="2">
        <v>34.549999999999997</v>
      </c>
      <c r="M823" s="2">
        <v>233.4</v>
      </c>
      <c r="N823" s="2">
        <v>152.76</v>
      </c>
      <c r="O823" s="2">
        <v>46.64</v>
      </c>
      <c r="P823" s="2">
        <v>34.549999999999997</v>
      </c>
    </row>
    <row r="824" spans="1:16" x14ac:dyDescent="0.25">
      <c r="A824" t="s">
        <v>15</v>
      </c>
      <c r="B824" t="s">
        <v>1119</v>
      </c>
      <c r="C824" t="s">
        <v>17</v>
      </c>
      <c r="D824" t="s">
        <v>1137</v>
      </c>
      <c r="E824" t="s">
        <v>47</v>
      </c>
      <c r="F824" t="s">
        <v>775</v>
      </c>
      <c r="G824" s="1">
        <f>45793</f>
        <v>45793</v>
      </c>
      <c r="H824" t="s">
        <v>2422</v>
      </c>
      <c r="I824" s="2">
        <v>631.24</v>
      </c>
      <c r="J824" s="2">
        <v>374.54</v>
      </c>
      <c r="K824" s="2">
        <v>256.7</v>
      </c>
      <c r="L824" s="2">
        <v>40.67</v>
      </c>
      <c r="M824" s="2">
        <v>631.24</v>
      </c>
      <c r="N824" s="2">
        <v>374.54</v>
      </c>
      <c r="O824" s="2">
        <v>226.98</v>
      </c>
      <c r="P824" s="2">
        <v>40.67</v>
      </c>
    </row>
    <row r="825" spans="1:16" x14ac:dyDescent="0.25">
      <c r="A825" t="s">
        <v>15</v>
      </c>
      <c r="B825" t="s">
        <v>1119</v>
      </c>
      <c r="C825" t="s">
        <v>17</v>
      </c>
      <c r="D825" t="s">
        <v>1138</v>
      </c>
      <c r="E825" t="s">
        <v>19</v>
      </c>
      <c r="F825" t="s">
        <v>176</v>
      </c>
      <c r="G825" s="1">
        <f>45797</f>
        <v>45797</v>
      </c>
      <c r="H825" t="s">
        <v>51</v>
      </c>
      <c r="I825" s="2">
        <v>286.3</v>
      </c>
      <c r="J825" s="2">
        <v>193.41</v>
      </c>
      <c r="K825" s="2">
        <v>92.89</v>
      </c>
      <c r="L825" s="2">
        <v>32.44</v>
      </c>
      <c r="M825" s="2">
        <v>286.3</v>
      </c>
      <c r="N825" s="2">
        <v>196.82</v>
      </c>
      <c r="O825" s="2">
        <v>76.87</v>
      </c>
      <c r="P825" s="2">
        <v>31.25</v>
      </c>
    </row>
    <row r="826" spans="1:16" x14ac:dyDescent="0.25">
      <c r="A826" t="s">
        <v>15</v>
      </c>
      <c r="B826" t="s">
        <v>1119</v>
      </c>
      <c r="C826" t="s">
        <v>17</v>
      </c>
      <c r="D826" t="s">
        <v>1139</v>
      </c>
      <c r="E826" t="s">
        <v>19</v>
      </c>
      <c r="F826" t="s">
        <v>53</v>
      </c>
      <c r="G826" s="1">
        <f>45799</f>
        <v>45799</v>
      </c>
      <c r="H826" t="s">
        <v>51</v>
      </c>
      <c r="I826" s="2">
        <v>522.79999999999995</v>
      </c>
      <c r="J826" s="2">
        <v>337.43</v>
      </c>
      <c r="K826" s="2">
        <v>185.37</v>
      </c>
      <c r="L826" s="2">
        <v>35.46</v>
      </c>
      <c r="M826" s="2">
        <v>522.79999999999995</v>
      </c>
      <c r="N826" s="2">
        <v>337.43</v>
      </c>
      <c r="O826" s="2">
        <v>173.44</v>
      </c>
      <c r="P826" s="2">
        <v>35.46</v>
      </c>
    </row>
    <row r="827" spans="1:16" x14ac:dyDescent="0.25">
      <c r="A827" t="s">
        <v>15</v>
      </c>
      <c r="B827" t="s">
        <v>1119</v>
      </c>
      <c r="C827" t="s">
        <v>17</v>
      </c>
      <c r="D827" t="s">
        <v>1140</v>
      </c>
      <c r="E827" t="s">
        <v>19</v>
      </c>
      <c r="F827" t="s">
        <v>670</v>
      </c>
      <c r="G827" s="1">
        <f>45800</f>
        <v>45800</v>
      </c>
      <c r="H827" t="s">
        <v>51</v>
      </c>
      <c r="I827" s="2">
        <v>1153.7</v>
      </c>
      <c r="J827" s="2">
        <v>832.84</v>
      </c>
      <c r="K827" s="2">
        <v>320.86</v>
      </c>
      <c r="L827" s="2">
        <v>27.81</v>
      </c>
      <c r="M827" s="2">
        <v>1153.7</v>
      </c>
      <c r="N827" s="2">
        <v>832.84</v>
      </c>
      <c r="O827" s="2">
        <v>288.86</v>
      </c>
      <c r="P827" s="2">
        <v>27.81</v>
      </c>
    </row>
    <row r="828" spans="1:16" x14ac:dyDescent="0.25">
      <c r="A828" t="s">
        <v>15</v>
      </c>
      <c r="B828" t="s">
        <v>1119</v>
      </c>
      <c r="C828" t="s">
        <v>58</v>
      </c>
      <c r="D828" t="s">
        <v>1141</v>
      </c>
      <c r="E828" t="s">
        <v>19</v>
      </c>
      <c r="F828" t="s">
        <v>961</v>
      </c>
      <c r="G828" s="1">
        <f>45782</f>
        <v>45782</v>
      </c>
      <c r="H828" t="s">
        <v>56</v>
      </c>
      <c r="I828" s="2">
        <v>300.2</v>
      </c>
      <c r="J828" s="2">
        <v>194.55</v>
      </c>
      <c r="K828" s="2">
        <v>105.65</v>
      </c>
      <c r="L828" s="2">
        <v>35.19</v>
      </c>
      <c r="M828" s="2">
        <v>300.2</v>
      </c>
      <c r="N828" s="2">
        <v>190.84</v>
      </c>
      <c r="O828" s="2">
        <v>96.72</v>
      </c>
      <c r="P828" s="2">
        <v>36.43</v>
      </c>
    </row>
    <row r="829" spans="1:16" x14ac:dyDescent="0.25">
      <c r="A829" t="s">
        <v>15</v>
      </c>
      <c r="B829" t="s">
        <v>1119</v>
      </c>
      <c r="C829" t="s">
        <v>58</v>
      </c>
      <c r="D829" t="s">
        <v>1142</v>
      </c>
      <c r="E829" t="s">
        <v>19</v>
      </c>
      <c r="F829" t="s">
        <v>1143</v>
      </c>
      <c r="G829" s="1">
        <f>45782</f>
        <v>45782</v>
      </c>
      <c r="H829" t="s">
        <v>56</v>
      </c>
      <c r="I829" s="2">
        <v>331.37</v>
      </c>
      <c r="J829" s="2">
        <v>200.93</v>
      </c>
      <c r="K829" s="2">
        <v>130.44</v>
      </c>
      <c r="L829" s="2">
        <v>39.36</v>
      </c>
      <c r="M829" s="2">
        <v>331.37</v>
      </c>
      <c r="N829" s="2">
        <v>200.93</v>
      </c>
      <c r="O829" s="2">
        <v>128.65</v>
      </c>
      <c r="P829" s="2">
        <v>39.36</v>
      </c>
    </row>
    <row r="830" spans="1:16" x14ac:dyDescent="0.25">
      <c r="A830" t="s">
        <v>15</v>
      </c>
      <c r="B830" t="s">
        <v>1119</v>
      </c>
      <c r="C830" t="s">
        <v>58</v>
      </c>
      <c r="D830" t="s">
        <v>1144</v>
      </c>
      <c r="E830" t="s">
        <v>19</v>
      </c>
      <c r="F830" t="s">
        <v>64</v>
      </c>
      <c r="G830" s="1">
        <f>45784</f>
        <v>45784</v>
      </c>
      <c r="H830" t="s">
        <v>56</v>
      </c>
      <c r="I830" s="2">
        <v>269.45</v>
      </c>
      <c r="J830" s="2">
        <v>172.13</v>
      </c>
      <c r="K830" s="2">
        <v>97.31</v>
      </c>
      <c r="L830" s="2">
        <v>36.119999999999997</v>
      </c>
      <c r="M830" s="2">
        <v>269.45</v>
      </c>
      <c r="N830" s="2">
        <v>172.13</v>
      </c>
      <c r="O830" s="2">
        <v>69.31</v>
      </c>
      <c r="P830" s="2">
        <v>36.119999999999997</v>
      </c>
    </row>
    <row r="831" spans="1:16" x14ac:dyDescent="0.25">
      <c r="A831" t="s">
        <v>15</v>
      </c>
      <c r="B831" t="s">
        <v>1119</v>
      </c>
      <c r="C831" t="s">
        <v>58</v>
      </c>
      <c r="D831" t="s">
        <v>1145</v>
      </c>
      <c r="E831" t="s">
        <v>19</v>
      </c>
      <c r="F831" t="s">
        <v>77</v>
      </c>
      <c r="G831" s="1">
        <f>45784</f>
        <v>45784</v>
      </c>
      <c r="H831" t="s">
        <v>56</v>
      </c>
      <c r="I831" s="2">
        <v>208.3</v>
      </c>
      <c r="J831" s="2">
        <v>145.13999999999999</v>
      </c>
      <c r="K831" s="2">
        <v>63.16</v>
      </c>
      <c r="L831" s="2">
        <v>30.32</v>
      </c>
      <c r="M831" s="2">
        <v>208.3</v>
      </c>
      <c r="N831" s="2">
        <v>145.13999999999999</v>
      </c>
      <c r="O831" s="2">
        <v>24.16</v>
      </c>
      <c r="P831" s="2">
        <v>30.32</v>
      </c>
    </row>
    <row r="832" spans="1:16" x14ac:dyDescent="0.25">
      <c r="A832" t="s">
        <v>15</v>
      </c>
      <c r="B832" t="s">
        <v>1119</v>
      </c>
      <c r="C832" t="s">
        <v>58</v>
      </c>
      <c r="D832" t="s">
        <v>1146</v>
      </c>
      <c r="E832" t="s">
        <v>19</v>
      </c>
      <c r="F832" t="s">
        <v>64</v>
      </c>
      <c r="G832" s="1">
        <f>45784</f>
        <v>45784</v>
      </c>
      <c r="H832" t="s">
        <v>56</v>
      </c>
      <c r="I832" s="2">
        <v>1235.2</v>
      </c>
      <c r="J832" s="2">
        <v>786.6</v>
      </c>
      <c r="K832" s="2">
        <v>448.6</v>
      </c>
      <c r="L832" s="2">
        <v>36.32</v>
      </c>
      <c r="M832" s="2">
        <v>1235.2</v>
      </c>
      <c r="N832" s="2">
        <v>786.6</v>
      </c>
      <c r="O832" s="2">
        <v>403.6</v>
      </c>
      <c r="P832" s="2">
        <v>36.32</v>
      </c>
    </row>
    <row r="833" spans="1:16" x14ac:dyDescent="0.25">
      <c r="A833" t="s">
        <v>15</v>
      </c>
      <c r="B833" t="s">
        <v>1119</v>
      </c>
      <c r="C833" t="s">
        <v>58</v>
      </c>
      <c r="D833" t="s">
        <v>1147</v>
      </c>
      <c r="E833" t="s">
        <v>19</v>
      </c>
      <c r="F833" t="s">
        <v>408</v>
      </c>
      <c r="G833" s="1">
        <f>45786</f>
        <v>45786</v>
      </c>
      <c r="H833" t="s">
        <v>56</v>
      </c>
      <c r="I833" s="2">
        <v>1400</v>
      </c>
      <c r="J833" s="2">
        <v>870</v>
      </c>
      <c r="K833" s="2">
        <v>530</v>
      </c>
      <c r="L833" s="2">
        <v>37.86</v>
      </c>
      <c r="M833" s="2">
        <v>1400</v>
      </c>
      <c r="N833" s="2">
        <v>870</v>
      </c>
      <c r="O833" s="2">
        <v>515</v>
      </c>
      <c r="P833" s="2">
        <v>37.86</v>
      </c>
    </row>
    <row r="834" spans="1:16" x14ac:dyDescent="0.25">
      <c r="A834" t="s">
        <v>15</v>
      </c>
      <c r="B834" t="s">
        <v>1119</v>
      </c>
      <c r="C834" t="s">
        <v>58</v>
      </c>
      <c r="D834" t="s">
        <v>1148</v>
      </c>
      <c r="E834" t="s">
        <v>19</v>
      </c>
      <c r="F834" t="s">
        <v>79</v>
      </c>
      <c r="G834" s="1">
        <f>45786</f>
        <v>45786</v>
      </c>
      <c r="H834" t="s">
        <v>56</v>
      </c>
      <c r="I834" s="2">
        <v>198</v>
      </c>
      <c r="J834" s="2">
        <v>144</v>
      </c>
      <c r="K834" s="2">
        <v>54</v>
      </c>
      <c r="L834" s="2">
        <v>27.27</v>
      </c>
      <c r="M834" s="2">
        <v>198</v>
      </c>
      <c r="N834" s="2">
        <v>144</v>
      </c>
      <c r="O834" s="2">
        <v>45</v>
      </c>
      <c r="P834" s="2">
        <v>27.27</v>
      </c>
    </row>
    <row r="835" spans="1:16" x14ac:dyDescent="0.25">
      <c r="A835" t="s">
        <v>15</v>
      </c>
      <c r="B835" t="s">
        <v>1119</v>
      </c>
      <c r="C835" t="s">
        <v>58</v>
      </c>
      <c r="D835" t="s">
        <v>1149</v>
      </c>
      <c r="E835" t="s">
        <v>19</v>
      </c>
      <c r="F835" t="s">
        <v>408</v>
      </c>
      <c r="G835" s="1">
        <f>45786</f>
        <v>45786</v>
      </c>
      <c r="H835" t="s">
        <v>56</v>
      </c>
      <c r="I835" s="2">
        <v>3575.76</v>
      </c>
      <c r="J835" s="2">
        <v>2173.48</v>
      </c>
      <c r="K835" s="2">
        <v>1402.28</v>
      </c>
      <c r="L835" s="2">
        <v>39.22</v>
      </c>
      <c r="M835" s="2">
        <v>3575.76</v>
      </c>
      <c r="N835" s="2">
        <v>2173.58</v>
      </c>
      <c r="O835" s="2">
        <v>1227.18</v>
      </c>
      <c r="P835" s="2">
        <v>39.21</v>
      </c>
    </row>
    <row r="836" spans="1:16" x14ac:dyDescent="0.25">
      <c r="A836" t="s">
        <v>15</v>
      </c>
      <c r="B836" t="s">
        <v>1119</v>
      </c>
      <c r="C836" t="s">
        <v>58</v>
      </c>
      <c r="D836" t="s">
        <v>1150</v>
      </c>
      <c r="E836" t="s">
        <v>19</v>
      </c>
      <c r="F836" t="s">
        <v>724</v>
      </c>
      <c r="G836" s="1">
        <f>45786</f>
        <v>45786</v>
      </c>
      <c r="H836" t="s">
        <v>56</v>
      </c>
      <c r="I836" s="2">
        <v>362.2</v>
      </c>
      <c r="J836" s="2">
        <v>237.48</v>
      </c>
      <c r="K836" s="2">
        <v>124.72</v>
      </c>
      <c r="L836" s="2">
        <v>34.43</v>
      </c>
      <c r="M836" s="2">
        <v>362.2</v>
      </c>
      <c r="N836" s="2">
        <v>237.48</v>
      </c>
      <c r="O836" s="2">
        <v>109.72</v>
      </c>
      <c r="P836" s="2">
        <v>34.43</v>
      </c>
    </row>
    <row r="837" spans="1:16" x14ac:dyDescent="0.25">
      <c r="A837" t="s">
        <v>15</v>
      </c>
      <c r="B837" t="s">
        <v>1119</v>
      </c>
      <c r="C837" t="s">
        <v>58</v>
      </c>
      <c r="D837" t="s">
        <v>1151</v>
      </c>
      <c r="E837" t="s">
        <v>19</v>
      </c>
      <c r="F837" t="s">
        <v>131</v>
      </c>
      <c r="G837" s="1">
        <f>45786</f>
        <v>45786</v>
      </c>
      <c r="H837" t="s">
        <v>56</v>
      </c>
      <c r="I837" s="2">
        <v>846.42</v>
      </c>
      <c r="J837" s="2">
        <v>560.57000000000005</v>
      </c>
      <c r="K837" s="2">
        <v>285.85000000000002</v>
      </c>
      <c r="L837" s="2">
        <v>33.770000000000003</v>
      </c>
      <c r="M837" s="2">
        <v>846.42</v>
      </c>
      <c r="N837" s="2">
        <v>560.57000000000005</v>
      </c>
      <c r="O837" s="2">
        <v>265.85000000000002</v>
      </c>
      <c r="P837" s="2">
        <v>33.770000000000003</v>
      </c>
    </row>
    <row r="838" spans="1:16" x14ac:dyDescent="0.25">
      <c r="A838" t="s">
        <v>15</v>
      </c>
      <c r="B838" t="s">
        <v>1119</v>
      </c>
      <c r="C838" t="s">
        <v>58</v>
      </c>
      <c r="D838" t="s">
        <v>1152</v>
      </c>
      <c r="E838" t="s">
        <v>19</v>
      </c>
      <c r="F838" t="s">
        <v>772</v>
      </c>
      <c r="G838" s="1">
        <f>45789</f>
        <v>45789</v>
      </c>
      <c r="H838" t="s">
        <v>56</v>
      </c>
      <c r="I838" s="2">
        <v>1803</v>
      </c>
      <c r="J838" s="2">
        <v>766.18</v>
      </c>
      <c r="K838" s="2">
        <v>1036.82</v>
      </c>
      <c r="L838" s="2">
        <v>57.51</v>
      </c>
      <c r="M838" s="2">
        <v>1803</v>
      </c>
      <c r="N838" s="2">
        <v>766.18</v>
      </c>
      <c r="O838" s="2">
        <v>1012.82</v>
      </c>
      <c r="P838" s="2">
        <v>57.51</v>
      </c>
    </row>
    <row r="839" spans="1:16" x14ac:dyDescent="0.25">
      <c r="A839" t="s">
        <v>15</v>
      </c>
      <c r="B839" t="s">
        <v>1119</v>
      </c>
      <c r="C839" t="s">
        <v>58</v>
      </c>
      <c r="D839" t="s">
        <v>1153</v>
      </c>
      <c r="E839" t="s">
        <v>19</v>
      </c>
      <c r="F839" t="s">
        <v>93</v>
      </c>
      <c r="G839" s="1">
        <f>45789</f>
        <v>45789</v>
      </c>
      <c r="H839" t="s">
        <v>56</v>
      </c>
      <c r="I839" s="2">
        <v>4300.03</v>
      </c>
      <c r="J839" s="2">
        <v>2678.75</v>
      </c>
      <c r="K839" s="2">
        <v>1621.28</v>
      </c>
      <c r="L839" s="2">
        <v>37.700000000000003</v>
      </c>
      <c r="M839" s="2">
        <v>4300.03</v>
      </c>
      <c r="N839" s="2">
        <v>2679.05</v>
      </c>
      <c r="O839" s="2">
        <v>1620.98</v>
      </c>
      <c r="P839" s="2">
        <v>37.700000000000003</v>
      </c>
    </row>
    <row r="840" spans="1:16" x14ac:dyDescent="0.25">
      <c r="A840" t="s">
        <v>15</v>
      </c>
      <c r="B840" t="s">
        <v>1119</v>
      </c>
      <c r="C840" t="s">
        <v>58</v>
      </c>
      <c r="D840" t="s">
        <v>1154</v>
      </c>
      <c r="E840" t="s">
        <v>19</v>
      </c>
      <c r="F840" t="s">
        <v>450</v>
      </c>
      <c r="G840" s="1">
        <f>45789</f>
        <v>45789</v>
      </c>
      <c r="H840" t="s">
        <v>56</v>
      </c>
      <c r="I840" s="2">
        <v>815.47</v>
      </c>
      <c r="J840" s="2">
        <v>532.95000000000005</v>
      </c>
      <c r="K840" s="2">
        <v>282.52</v>
      </c>
      <c r="L840" s="2">
        <v>34.65</v>
      </c>
      <c r="M840" s="2">
        <v>815.47</v>
      </c>
      <c r="N840" s="2">
        <v>532.95000000000005</v>
      </c>
      <c r="O840" s="2">
        <v>273.52</v>
      </c>
      <c r="P840" s="2">
        <v>34.65</v>
      </c>
    </row>
    <row r="841" spans="1:16" x14ac:dyDescent="0.25">
      <c r="A841" t="s">
        <v>15</v>
      </c>
      <c r="B841" t="s">
        <v>1119</v>
      </c>
      <c r="C841" t="s">
        <v>58</v>
      </c>
      <c r="D841" t="s">
        <v>1155</v>
      </c>
      <c r="E841" t="s">
        <v>19</v>
      </c>
      <c r="F841" t="s">
        <v>64</v>
      </c>
      <c r="G841" s="1">
        <f>45789</f>
        <v>45789</v>
      </c>
      <c r="H841" t="s">
        <v>56</v>
      </c>
      <c r="I841" s="2">
        <v>3989.8</v>
      </c>
      <c r="J841" s="2">
        <v>2616.6799999999998</v>
      </c>
      <c r="K841" s="2">
        <v>1373.12</v>
      </c>
      <c r="L841" s="2">
        <v>34.42</v>
      </c>
      <c r="M841" s="2">
        <v>3989.8</v>
      </c>
      <c r="N841" s="2">
        <v>2616.6799999999998</v>
      </c>
      <c r="O841" s="2">
        <v>1349.78</v>
      </c>
      <c r="P841" s="2">
        <v>34.42</v>
      </c>
    </row>
    <row r="842" spans="1:16" x14ac:dyDescent="0.25">
      <c r="A842" t="s">
        <v>15</v>
      </c>
      <c r="B842" t="s">
        <v>1119</v>
      </c>
      <c r="C842" t="s">
        <v>58</v>
      </c>
      <c r="D842" t="s">
        <v>1156</v>
      </c>
      <c r="E842" t="s">
        <v>19</v>
      </c>
      <c r="F842" t="s">
        <v>991</v>
      </c>
      <c r="G842" s="1">
        <f>45790</f>
        <v>45790</v>
      </c>
      <c r="H842" t="s">
        <v>56</v>
      </c>
      <c r="I842" s="2">
        <v>214.9</v>
      </c>
      <c r="J842" s="2">
        <v>139.15</v>
      </c>
      <c r="K842" s="2">
        <v>75.75</v>
      </c>
      <c r="L842" s="2">
        <v>35.25</v>
      </c>
      <c r="M842" s="2">
        <v>214.9</v>
      </c>
      <c r="N842" s="2">
        <v>139.15</v>
      </c>
      <c r="O842" s="2">
        <v>65.75</v>
      </c>
      <c r="P842" s="2">
        <v>35.25</v>
      </c>
    </row>
    <row r="843" spans="1:16" x14ac:dyDescent="0.25">
      <c r="A843" t="s">
        <v>15</v>
      </c>
      <c r="B843" t="s">
        <v>1119</v>
      </c>
      <c r="C843" t="s">
        <v>58</v>
      </c>
      <c r="D843" t="s">
        <v>1157</v>
      </c>
      <c r="E843" t="s">
        <v>19</v>
      </c>
      <c r="F843" t="s">
        <v>64</v>
      </c>
      <c r="G843" s="1">
        <f>45790</f>
        <v>45790</v>
      </c>
      <c r="H843" t="s">
        <v>56</v>
      </c>
      <c r="I843" s="2">
        <v>336.07</v>
      </c>
      <c r="J843" s="2">
        <v>251.97</v>
      </c>
      <c r="K843" s="2">
        <v>84.1</v>
      </c>
      <c r="L843" s="2">
        <v>25.02</v>
      </c>
      <c r="M843" s="2">
        <v>336.07</v>
      </c>
      <c r="N843" s="2">
        <v>256.77999999999997</v>
      </c>
      <c r="O843" s="2">
        <v>74.58</v>
      </c>
      <c r="P843" s="2">
        <v>23.59</v>
      </c>
    </row>
    <row r="844" spans="1:16" x14ac:dyDescent="0.25">
      <c r="A844" t="s">
        <v>15</v>
      </c>
      <c r="B844" t="s">
        <v>1119</v>
      </c>
      <c r="C844" t="s">
        <v>58</v>
      </c>
      <c r="D844" t="s">
        <v>1158</v>
      </c>
      <c r="E844" t="s">
        <v>19</v>
      </c>
      <c r="F844" t="s">
        <v>755</v>
      </c>
      <c r="G844" s="1">
        <f>45791</f>
        <v>45791</v>
      </c>
      <c r="H844" t="s">
        <v>56</v>
      </c>
      <c r="I844" s="2">
        <v>1472.7</v>
      </c>
      <c r="J844" s="2">
        <v>953.08</v>
      </c>
      <c r="K844" s="2">
        <v>519.62</v>
      </c>
      <c r="L844" s="2">
        <v>35.28</v>
      </c>
      <c r="M844" s="2">
        <v>1472.7</v>
      </c>
      <c r="N844" s="2">
        <v>936.93</v>
      </c>
      <c r="O844" s="2">
        <v>475.77</v>
      </c>
      <c r="P844" s="2">
        <v>36.380000000000003</v>
      </c>
    </row>
    <row r="845" spans="1:16" x14ac:dyDescent="0.25">
      <c r="A845" t="s">
        <v>15</v>
      </c>
      <c r="B845" t="s">
        <v>1119</v>
      </c>
      <c r="C845" t="s">
        <v>58</v>
      </c>
      <c r="D845" t="s">
        <v>1159</v>
      </c>
      <c r="E845" t="s">
        <v>47</v>
      </c>
      <c r="F845" t="s">
        <v>69</v>
      </c>
      <c r="G845" s="1">
        <f>45791</f>
        <v>45791</v>
      </c>
      <c r="H845" t="s">
        <v>70</v>
      </c>
      <c r="I845" s="2">
        <v>0</v>
      </c>
      <c r="J845" s="2">
        <v>0</v>
      </c>
      <c r="K845" s="2">
        <v>0</v>
      </c>
      <c r="L845" s="2">
        <v>0</v>
      </c>
      <c r="M845" s="2">
        <v>117.24</v>
      </c>
      <c r="N845" s="2">
        <v>99.36</v>
      </c>
      <c r="O845" s="2">
        <v>17.88</v>
      </c>
      <c r="P845" s="2">
        <v>15.25</v>
      </c>
    </row>
    <row r="846" spans="1:16" x14ac:dyDescent="0.25">
      <c r="A846" t="s">
        <v>15</v>
      </c>
      <c r="B846" t="s">
        <v>1119</v>
      </c>
      <c r="C846" t="s">
        <v>58</v>
      </c>
      <c r="D846" t="s">
        <v>1160</v>
      </c>
      <c r="E846" t="s">
        <v>47</v>
      </c>
      <c r="F846" t="s">
        <v>69</v>
      </c>
      <c r="G846" s="1">
        <f>45791</f>
        <v>45791</v>
      </c>
      <c r="H846" t="s">
        <v>70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6.15</v>
      </c>
      <c r="O846" s="2">
        <v>-6.15</v>
      </c>
      <c r="P846" s="2">
        <v>0</v>
      </c>
    </row>
    <row r="847" spans="1:16" x14ac:dyDescent="0.25">
      <c r="A847" t="s">
        <v>15</v>
      </c>
      <c r="B847" t="s">
        <v>1119</v>
      </c>
      <c r="C847" t="s">
        <v>58</v>
      </c>
      <c r="D847" t="s">
        <v>1161</v>
      </c>
      <c r="E847" t="s">
        <v>19</v>
      </c>
      <c r="F847" t="s">
        <v>465</v>
      </c>
      <c r="G847" s="1">
        <f>45791</f>
        <v>45791</v>
      </c>
      <c r="H847" t="s">
        <v>56</v>
      </c>
      <c r="I847" s="2">
        <v>1189.48</v>
      </c>
      <c r="J847" s="2">
        <v>795.64</v>
      </c>
      <c r="K847" s="2">
        <v>393.84</v>
      </c>
      <c r="L847" s="2">
        <v>33.11</v>
      </c>
      <c r="M847" s="2">
        <v>1189.48</v>
      </c>
      <c r="N847" s="2">
        <v>790.2</v>
      </c>
      <c r="O847" s="2">
        <v>325.27999999999997</v>
      </c>
      <c r="P847" s="2">
        <v>33.57</v>
      </c>
    </row>
    <row r="848" spans="1:16" x14ac:dyDescent="0.25">
      <c r="A848" t="s">
        <v>15</v>
      </c>
      <c r="B848" t="s">
        <v>1119</v>
      </c>
      <c r="C848" t="s">
        <v>58</v>
      </c>
      <c r="D848" t="s">
        <v>1162</v>
      </c>
      <c r="E848" t="s">
        <v>19</v>
      </c>
      <c r="F848" t="s">
        <v>131</v>
      </c>
      <c r="G848" s="1">
        <f>45791</f>
        <v>45791</v>
      </c>
      <c r="H848" t="s">
        <v>56</v>
      </c>
      <c r="I848" s="2">
        <v>161.82</v>
      </c>
      <c r="J848" s="2">
        <v>113.2</v>
      </c>
      <c r="K848" s="2">
        <v>48.62</v>
      </c>
      <c r="L848" s="2">
        <v>30.05</v>
      </c>
      <c r="M848" s="2">
        <v>161.82</v>
      </c>
      <c r="N848" s="2">
        <v>113.51</v>
      </c>
      <c r="O848" s="2">
        <v>46.09</v>
      </c>
      <c r="P848" s="2">
        <v>29.85</v>
      </c>
    </row>
    <row r="849" spans="1:16" x14ac:dyDescent="0.25">
      <c r="A849" t="s">
        <v>15</v>
      </c>
      <c r="B849" t="s">
        <v>1119</v>
      </c>
      <c r="C849" t="s">
        <v>58</v>
      </c>
      <c r="D849" t="s">
        <v>1163</v>
      </c>
      <c r="E849" t="s">
        <v>19</v>
      </c>
      <c r="F849" t="s">
        <v>408</v>
      </c>
      <c r="G849" s="1">
        <f>45791</f>
        <v>45791</v>
      </c>
      <c r="H849" t="s">
        <v>56</v>
      </c>
      <c r="I849" s="2">
        <v>1209.2</v>
      </c>
      <c r="J849" s="2">
        <v>752.51</v>
      </c>
      <c r="K849" s="2">
        <v>456.69</v>
      </c>
      <c r="L849" s="2">
        <v>37.770000000000003</v>
      </c>
      <c r="M849" s="2">
        <v>1209.2</v>
      </c>
      <c r="N849" s="2">
        <v>752.51</v>
      </c>
      <c r="O849" s="2">
        <v>431.69</v>
      </c>
      <c r="P849" s="2">
        <v>37.770000000000003</v>
      </c>
    </row>
    <row r="850" spans="1:16" x14ac:dyDescent="0.25">
      <c r="A850" t="s">
        <v>15</v>
      </c>
      <c r="B850" t="s">
        <v>1119</v>
      </c>
      <c r="C850" t="s">
        <v>58</v>
      </c>
      <c r="D850" t="s">
        <v>1164</v>
      </c>
      <c r="E850" t="s">
        <v>19</v>
      </c>
      <c r="F850" t="s">
        <v>1165</v>
      </c>
      <c r="G850" s="1">
        <f>45793</f>
        <v>45793</v>
      </c>
      <c r="H850" t="s">
        <v>56</v>
      </c>
      <c r="I850" s="2">
        <v>876.39</v>
      </c>
      <c r="J850" s="2">
        <v>558.83000000000004</v>
      </c>
      <c r="K850" s="2">
        <v>317.56</v>
      </c>
      <c r="L850" s="2">
        <v>36.24</v>
      </c>
      <c r="M850" s="2">
        <v>876.39</v>
      </c>
      <c r="N850" s="2">
        <v>558.83000000000004</v>
      </c>
      <c r="O850" s="2">
        <v>263.56</v>
      </c>
      <c r="P850" s="2">
        <v>36.24</v>
      </c>
    </row>
    <row r="851" spans="1:16" x14ac:dyDescent="0.25">
      <c r="A851" t="s">
        <v>15</v>
      </c>
      <c r="B851" t="s">
        <v>1119</v>
      </c>
      <c r="C851" t="s">
        <v>58</v>
      </c>
      <c r="D851" t="s">
        <v>1166</v>
      </c>
      <c r="E851" t="s">
        <v>19</v>
      </c>
      <c r="F851" t="s">
        <v>1167</v>
      </c>
      <c r="G851" s="1">
        <f>45796</f>
        <v>45796</v>
      </c>
      <c r="H851" t="s">
        <v>56</v>
      </c>
      <c r="I851" s="2">
        <v>6758.7</v>
      </c>
      <c r="J851" s="2">
        <v>4824.24</v>
      </c>
      <c r="K851" s="2">
        <v>1934.46</v>
      </c>
      <c r="L851" s="2">
        <v>28.62</v>
      </c>
      <c r="M851" s="2">
        <v>6758.7</v>
      </c>
      <c r="N851" s="2">
        <v>4824.24</v>
      </c>
      <c r="O851" s="2">
        <v>1934.46</v>
      </c>
      <c r="P851" s="2">
        <v>28.62</v>
      </c>
    </row>
    <row r="852" spans="1:16" x14ac:dyDescent="0.25">
      <c r="A852" t="s">
        <v>15</v>
      </c>
      <c r="B852" t="s">
        <v>1119</v>
      </c>
      <c r="C852" t="s">
        <v>58</v>
      </c>
      <c r="D852" t="s">
        <v>1168</v>
      </c>
      <c r="E852" t="s">
        <v>19</v>
      </c>
      <c r="F852" t="s">
        <v>1169</v>
      </c>
      <c r="G852" s="1">
        <f>45796</f>
        <v>45796</v>
      </c>
      <c r="H852" t="s">
        <v>56</v>
      </c>
      <c r="I852" s="2">
        <v>2247.1999999999998</v>
      </c>
      <c r="J852" s="2">
        <v>1347</v>
      </c>
      <c r="K852" s="2">
        <v>900.2</v>
      </c>
      <c r="L852" s="2">
        <v>40.06</v>
      </c>
      <c r="M852" s="2">
        <v>2247.1999999999998</v>
      </c>
      <c r="N852" s="2">
        <v>1347</v>
      </c>
      <c r="O852" s="2">
        <v>828.2</v>
      </c>
      <c r="P852" s="2">
        <v>40.06</v>
      </c>
    </row>
    <row r="853" spans="1:16" x14ac:dyDescent="0.25">
      <c r="A853" t="s">
        <v>15</v>
      </c>
      <c r="B853" t="s">
        <v>1119</v>
      </c>
      <c r="C853" t="s">
        <v>58</v>
      </c>
      <c r="D853" t="s">
        <v>1170</v>
      </c>
      <c r="E853" t="s">
        <v>19</v>
      </c>
      <c r="F853" t="s">
        <v>1171</v>
      </c>
      <c r="G853" s="1">
        <f>45796</f>
        <v>45796</v>
      </c>
      <c r="H853" t="s">
        <v>56</v>
      </c>
      <c r="I853" s="2">
        <v>6118.7</v>
      </c>
      <c r="J853" s="2">
        <v>3980.56</v>
      </c>
      <c r="K853" s="2">
        <v>2138.14</v>
      </c>
      <c r="L853" s="2">
        <v>34.94</v>
      </c>
      <c r="M853" s="2">
        <v>6118.7</v>
      </c>
      <c r="N853" s="2">
        <v>3980.56</v>
      </c>
      <c r="O853" s="2">
        <v>2105.6</v>
      </c>
      <c r="P853" s="2">
        <v>34.94</v>
      </c>
    </row>
    <row r="854" spans="1:16" x14ac:dyDescent="0.25">
      <c r="A854" t="s">
        <v>15</v>
      </c>
      <c r="B854" t="s">
        <v>1119</v>
      </c>
      <c r="C854" t="s">
        <v>58</v>
      </c>
      <c r="D854" t="s">
        <v>1172</v>
      </c>
      <c r="E854" t="s">
        <v>19</v>
      </c>
      <c r="F854" t="s">
        <v>692</v>
      </c>
      <c r="G854" s="1">
        <f>45796</f>
        <v>45796</v>
      </c>
      <c r="H854" t="s">
        <v>56</v>
      </c>
      <c r="I854" s="2">
        <v>3205</v>
      </c>
      <c r="J854" s="2">
        <v>2167</v>
      </c>
      <c r="K854" s="2">
        <v>1038</v>
      </c>
      <c r="L854" s="2">
        <v>32.39</v>
      </c>
      <c r="M854" s="2">
        <v>3205</v>
      </c>
      <c r="N854" s="2">
        <v>2167</v>
      </c>
      <c r="O854" s="2">
        <v>1020</v>
      </c>
      <c r="P854" s="2">
        <v>32.39</v>
      </c>
    </row>
    <row r="855" spans="1:16" x14ac:dyDescent="0.25">
      <c r="A855" t="s">
        <v>15</v>
      </c>
      <c r="B855" t="s">
        <v>1119</v>
      </c>
      <c r="C855" t="s">
        <v>58</v>
      </c>
      <c r="D855" t="s">
        <v>1173</v>
      </c>
      <c r="E855" t="s">
        <v>19</v>
      </c>
      <c r="F855" t="s">
        <v>450</v>
      </c>
      <c r="G855" s="1">
        <f>45797</f>
        <v>45797</v>
      </c>
      <c r="H855" t="s">
        <v>56</v>
      </c>
      <c r="I855" s="2">
        <v>1087.9000000000001</v>
      </c>
      <c r="J855" s="2">
        <v>707</v>
      </c>
      <c r="K855" s="2">
        <v>380.9</v>
      </c>
      <c r="L855" s="2">
        <v>35.01</v>
      </c>
      <c r="M855" s="2">
        <v>1087.9000000000001</v>
      </c>
      <c r="N855" s="2">
        <v>707</v>
      </c>
      <c r="O855" s="2">
        <v>371.9</v>
      </c>
      <c r="P855" s="2">
        <v>35.01</v>
      </c>
    </row>
    <row r="856" spans="1:16" x14ac:dyDescent="0.25">
      <c r="A856" t="s">
        <v>15</v>
      </c>
      <c r="B856" t="s">
        <v>1119</v>
      </c>
      <c r="C856" t="s">
        <v>58</v>
      </c>
      <c r="D856" t="s">
        <v>1174</v>
      </c>
      <c r="E856" t="s">
        <v>19</v>
      </c>
      <c r="F856" t="s">
        <v>86</v>
      </c>
      <c r="G856" s="1">
        <f>45797</f>
        <v>45797</v>
      </c>
      <c r="H856" t="s">
        <v>56</v>
      </c>
      <c r="I856" s="2">
        <v>776.36</v>
      </c>
      <c r="J856" s="2">
        <v>516.6</v>
      </c>
      <c r="K856" s="2">
        <v>259.76</v>
      </c>
      <c r="L856" s="2">
        <v>33.46</v>
      </c>
      <c r="M856" s="2">
        <v>776.36</v>
      </c>
      <c r="N856" s="2">
        <v>516.6</v>
      </c>
      <c r="O856" s="2">
        <v>250.76</v>
      </c>
      <c r="P856" s="2">
        <v>33.46</v>
      </c>
    </row>
    <row r="857" spans="1:16" x14ac:dyDescent="0.25">
      <c r="A857" t="s">
        <v>15</v>
      </c>
      <c r="B857" t="s">
        <v>1119</v>
      </c>
      <c r="C857" t="s">
        <v>58</v>
      </c>
      <c r="D857" t="s">
        <v>1175</v>
      </c>
      <c r="E857" t="s">
        <v>19</v>
      </c>
      <c r="F857" t="s">
        <v>60</v>
      </c>
      <c r="G857" s="1">
        <f>45798</f>
        <v>45798</v>
      </c>
      <c r="H857" t="s">
        <v>56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1788.02</v>
      </c>
      <c r="O857" s="2">
        <v>-1788.02</v>
      </c>
      <c r="P857" s="2">
        <v>0</v>
      </c>
    </row>
    <row r="858" spans="1:16" x14ac:dyDescent="0.25">
      <c r="A858" t="s">
        <v>15</v>
      </c>
      <c r="B858" t="s">
        <v>1119</v>
      </c>
      <c r="C858" t="s">
        <v>58</v>
      </c>
      <c r="D858" t="s">
        <v>1176</v>
      </c>
      <c r="E858" t="s">
        <v>19</v>
      </c>
      <c r="F858" t="s">
        <v>1177</v>
      </c>
      <c r="G858" s="1">
        <f>45798</f>
        <v>45798</v>
      </c>
      <c r="H858" t="s">
        <v>56</v>
      </c>
      <c r="I858" s="2">
        <v>1593.8</v>
      </c>
      <c r="J858" s="2">
        <v>963.5</v>
      </c>
      <c r="K858" s="2">
        <v>630.29999999999995</v>
      </c>
      <c r="L858" s="2">
        <v>39.549999999999997</v>
      </c>
      <c r="M858" s="2">
        <v>1593.8</v>
      </c>
      <c r="N858" s="2">
        <v>963.5</v>
      </c>
      <c r="O858" s="2">
        <v>585.29999999999995</v>
      </c>
      <c r="P858" s="2">
        <v>39.549999999999997</v>
      </c>
    </row>
    <row r="859" spans="1:16" x14ac:dyDescent="0.25">
      <c r="A859" t="s">
        <v>15</v>
      </c>
      <c r="B859" t="s">
        <v>1119</v>
      </c>
      <c r="C859" t="s">
        <v>58</v>
      </c>
      <c r="D859" t="s">
        <v>1178</v>
      </c>
      <c r="E859" t="s">
        <v>19</v>
      </c>
      <c r="F859" t="s">
        <v>1167</v>
      </c>
      <c r="G859" s="1">
        <f>45799</f>
        <v>45799</v>
      </c>
      <c r="H859" t="s">
        <v>56</v>
      </c>
      <c r="I859" s="2">
        <v>1380</v>
      </c>
      <c r="J859" s="2">
        <v>961.23</v>
      </c>
      <c r="K859" s="2">
        <v>418.77</v>
      </c>
      <c r="L859" s="2">
        <v>30.35</v>
      </c>
      <c r="M859" s="2">
        <v>1380</v>
      </c>
      <c r="N859" s="2">
        <v>961.23</v>
      </c>
      <c r="O859" s="2">
        <v>418.77</v>
      </c>
      <c r="P859" s="2">
        <v>30.35</v>
      </c>
    </row>
    <row r="860" spans="1:16" x14ac:dyDescent="0.25">
      <c r="A860" t="s">
        <v>15</v>
      </c>
      <c r="B860" t="s">
        <v>1119</v>
      </c>
      <c r="C860" t="s">
        <v>58</v>
      </c>
      <c r="D860" t="s">
        <v>1179</v>
      </c>
      <c r="E860" t="s">
        <v>19</v>
      </c>
      <c r="F860" t="s">
        <v>408</v>
      </c>
      <c r="G860" s="1">
        <f>45799</f>
        <v>45799</v>
      </c>
      <c r="H860" t="s">
        <v>56</v>
      </c>
      <c r="I860" s="2">
        <v>1699.6</v>
      </c>
      <c r="J860" s="2">
        <v>1071.28</v>
      </c>
      <c r="K860" s="2">
        <v>628.32000000000005</v>
      </c>
      <c r="L860" s="2">
        <v>36.97</v>
      </c>
      <c r="M860" s="2">
        <v>1699.6</v>
      </c>
      <c r="N860" s="2">
        <v>1071.28</v>
      </c>
      <c r="O860" s="2">
        <v>572.32000000000005</v>
      </c>
      <c r="P860" s="2">
        <v>36.97</v>
      </c>
    </row>
    <row r="861" spans="1:16" x14ac:dyDescent="0.25">
      <c r="A861" t="s">
        <v>15</v>
      </c>
      <c r="B861" t="s">
        <v>1119</v>
      </c>
      <c r="C861" t="s">
        <v>58</v>
      </c>
      <c r="D861" t="s">
        <v>1180</v>
      </c>
      <c r="E861" t="s">
        <v>19</v>
      </c>
      <c r="F861" t="s">
        <v>67</v>
      </c>
      <c r="G861" s="1">
        <f>45803</f>
        <v>45803</v>
      </c>
      <c r="H861" t="s">
        <v>56</v>
      </c>
      <c r="I861" s="2">
        <v>466.3</v>
      </c>
      <c r="J861" s="2">
        <v>295.95999999999998</v>
      </c>
      <c r="K861" s="2">
        <v>170.34</v>
      </c>
      <c r="L861" s="2">
        <v>36.53</v>
      </c>
      <c r="M861" s="2">
        <v>466.3</v>
      </c>
      <c r="N861" s="2">
        <v>295.95999999999998</v>
      </c>
      <c r="O861" s="2">
        <v>116.34</v>
      </c>
      <c r="P861" s="2">
        <v>36.53</v>
      </c>
    </row>
    <row r="862" spans="1:16" x14ac:dyDescent="0.25">
      <c r="A862" t="s">
        <v>15</v>
      </c>
      <c r="B862" t="s">
        <v>1119</v>
      </c>
      <c r="C862" t="s">
        <v>58</v>
      </c>
      <c r="D862" t="s">
        <v>1181</v>
      </c>
      <c r="E862" t="s">
        <v>19</v>
      </c>
      <c r="F862" t="s">
        <v>713</v>
      </c>
      <c r="G862" s="1">
        <f>45803</f>
        <v>45803</v>
      </c>
      <c r="H862" t="s">
        <v>56</v>
      </c>
      <c r="I862" s="2">
        <v>1354.58</v>
      </c>
      <c r="J862" s="2">
        <v>723.5</v>
      </c>
      <c r="K862" s="2">
        <v>631.08000000000004</v>
      </c>
      <c r="L862" s="2">
        <v>46.59</v>
      </c>
      <c r="M862" s="2">
        <v>1354.58</v>
      </c>
      <c r="N862" s="2">
        <v>723.5</v>
      </c>
      <c r="O862" s="2">
        <v>596.08000000000004</v>
      </c>
      <c r="P862" s="2">
        <v>46.59</v>
      </c>
    </row>
    <row r="863" spans="1:16" x14ac:dyDescent="0.25">
      <c r="A863" t="s">
        <v>15</v>
      </c>
      <c r="B863" t="s">
        <v>1119</v>
      </c>
      <c r="C863" t="s">
        <v>58</v>
      </c>
      <c r="D863" t="s">
        <v>1182</v>
      </c>
      <c r="E863" t="s">
        <v>47</v>
      </c>
      <c r="F863" t="s">
        <v>141</v>
      </c>
      <c r="G863" s="1">
        <f>45803</f>
        <v>45803</v>
      </c>
      <c r="H863" t="s">
        <v>70</v>
      </c>
      <c r="I863" s="2">
        <v>0</v>
      </c>
      <c r="J863" s="2">
        <v>0</v>
      </c>
      <c r="K863" s="2">
        <v>0</v>
      </c>
      <c r="L863" s="2">
        <v>0</v>
      </c>
      <c r="M863" s="2">
        <v>150</v>
      </c>
      <c r="N863" s="2">
        <v>44.32</v>
      </c>
      <c r="O863" s="2">
        <v>105.68</v>
      </c>
      <c r="P863" s="2">
        <v>70.45</v>
      </c>
    </row>
    <row r="864" spans="1:16" x14ac:dyDescent="0.25">
      <c r="A864" t="s">
        <v>15</v>
      </c>
      <c r="B864" t="s">
        <v>1119</v>
      </c>
      <c r="C864" t="s">
        <v>58</v>
      </c>
      <c r="D864" t="s">
        <v>1183</v>
      </c>
      <c r="E864" t="s">
        <v>47</v>
      </c>
      <c r="F864" t="s">
        <v>69</v>
      </c>
      <c r="G864" s="1">
        <f>45803</f>
        <v>45803</v>
      </c>
      <c r="H864" t="s">
        <v>70</v>
      </c>
      <c r="I864" s="2">
        <v>0</v>
      </c>
      <c r="J864" s="2">
        <v>0</v>
      </c>
      <c r="K864" s="2">
        <v>0</v>
      </c>
      <c r="L864" s="2">
        <v>0</v>
      </c>
      <c r="M864" s="2">
        <v>66.88</v>
      </c>
      <c r="N864" s="2">
        <v>56.85</v>
      </c>
      <c r="O864" s="2">
        <v>10.029999999999999</v>
      </c>
      <c r="P864" s="2">
        <v>15</v>
      </c>
    </row>
    <row r="865" spans="1:16" x14ac:dyDescent="0.25">
      <c r="A865" t="s">
        <v>15</v>
      </c>
      <c r="B865" t="s">
        <v>1119</v>
      </c>
      <c r="C865" t="s">
        <v>58</v>
      </c>
      <c r="D865" t="s">
        <v>1184</v>
      </c>
      <c r="E865" t="s">
        <v>47</v>
      </c>
      <c r="F865" t="s">
        <v>69</v>
      </c>
      <c r="G865" s="1">
        <f>45803</f>
        <v>45803</v>
      </c>
      <c r="H865" t="s">
        <v>70</v>
      </c>
      <c r="I865" s="2">
        <v>0</v>
      </c>
      <c r="J865" s="2">
        <v>0</v>
      </c>
      <c r="K865" s="2">
        <v>0</v>
      </c>
      <c r="L865" s="2">
        <v>0</v>
      </c>
      <c r="M865" s="2">
        <v>243.72</v>
      </c>
      <c r="N865" s="2">
        <v>137.94</v>
      </c>
      <c r="O865" s="2">
        <v>105.78</v>
      </c>
      <c r="P865" s="2">
        <v>43.4</v>
      </c>
    </row>
    <row r="866" spans="1:16" x14ac:dyDescent="0.25">
      <c r="A866" t="s">
        <v>15</v>
      </c>
      <c r="B866" t="s">
        <v>1119</v>
      </c>
      <c r="C866" t="s">
        <v>58</v>
      </c>
      <c r="D866" t="s">
        <v>1185</v>
      </c>
      <c r="E866" t="s">
        <v>19</v>
      </c>
      <c r="F866" t="s">
        <v>724</v>
      </c>
      <c r="G866" s="1">
        <f>45804</f>
        <v>45804</v>
      </c>
      <c r="H866" t="s">
        <v>56</v>
      </c>
      <c r="I866" s="2">
        <v>3740</v>
      </c>
      <c r="J866" s="2">
        <v>2584</v>
      </c>
      <c r="K866" s="2">
        <v>1156</v>
      </c>
      <c r="L866" s="2">
        <v>30.91</v>
      </c>
      <c r="M866" s="2">
        <v>3740</v>
      </c>
      <c r="N866" s="2">
        <v>2584</v>
      </c>
      <c r="O866" s="2">
        <v>1110</v>
      </c>
      <c r="P866" s="2">
        <v>30.91</v>
      </c>
    </row>
    <row r="867" spans="1:16" x14ac:dyDescent="0.25">
      <c r="A867" t="s">
        <v>15</v>
      </c>
      <c r="B867" t="s">
        <v>1119</v>
      </c>
      <c r="C867" t="s">
        <v>58</v>
      </c>
      <c r="D867" t="s">
        <v>1186</v>
      </c>
      <c r="E867" t="s">
        <v>19</v>
      </c>
      <c r="F867" t="s">
        <v>465</v>
      </c>
      <c r="G867" s="1">
        <f>45804</f>
        <v>45804</v>
      </c>
      <c r="H867" t="s">
        <v>56</v>
      </c>
      <c r="I867" s="2">
        <v>433</v>
      </c>
      <c r="J867" s="2">
        <v>295.45</v>
      </c>
      <c r="K867" s="2">
        <v>137.55000000000001</v>
      </c>
      <c r="L867" s="2">
        <v>31.77</v>
      </c>
      <c r="M867" s="2">
        <v>433</v>
      </c>
      <c r="N867" s="2">
        <v>295.45</v>
      </c>
      <c r="O867" s="2">
        <v>121.95</v>
      </c>
      <c r="P867" s="2">
        <v>31.77</v>
      </c>
    </row>
    <row r="868" spans="1:16" x14ac:dyDescent="0.25">
      <c r="A868" t="s">
        <v>15</v>
      </c>
      <c r="B868" t="s">
        <v>1119</v>
      </c>
      <c r="C868" t="s">
        <v>58</v>
      </c>
      <c r="D868" t="s">
        <v>1187</v>
      </c>
      <c r="E868" t="s">
        <v>19</v>
      </c>
      <c r="F868" t="s">
        <v>1188</v>
      </c>
      <c r="G868" s="1">
        <f>45804</f>
        <v>45804</v>
      </c>
      <c r="H868" t="s">
        <v>56</v>
      </c>
      <c r="I868" s="2">
        <v>400.9</v>
      </c>
      <c r="J868" s="2">
        <v>276.82</v>
      </c>
      <c r="K868" s="2">
        <v>124.08</v>
      </c>
      <c r="L868" s="2">
        <v>30.95</v>
      </c>
      <c r="M868" s="2">
        <v>400.9</v>
      </c>
      <c r="N868" s="2">
        <v>276.85000000000002</v>
      </c>
      <c r="O868" s="2">
        <v>121.59</v>
      </c>
      <c r="P868" s="2">
        <v>30.94</v>
      </c>
    </row>
    <row r="869" spans="1:16" x14ac:dyDescent="0.25">
      <c r="A869" t="s">
        <v>15</v>
      </c>
      <c r="B869" t="s">
        <v>1119</v>
      </c>
      <c r="C869" t="s">
        <v>58</v>
      </c>
      <c r="D869" t="s">
        <v>1189</v>
      </c>
      <c r="E869" t="s">
        <v>19</v>
      </c>
      <c r="F869" t="s">
        <v>131</v>
      </c>
      <c r="G869" s="1">
        <f>45805</f>
        <v>45805</v>
      </c>
      <c r="H869" t="s">
        <v>56</v>
      </c>
      <c r="I869" s="2">
        <v>1212.68</v>
      </c>
      <c r="J869" s="2">
        <v>848.47</v>
      </c>
      <c r="K869" s="2">
        <v>364.21</v>
      </c>
      <c r="L869" s="2">
        <v>30.03</v>
      </c>
      <c r="M869" s="2">
        <v>1212.68</v>
      </c>
      <c r="N869" s="2">
        <v>848.45</v>
      </c>
      <c r="O869" s="2">
        <v>347.6</v>
      </c>
      <c r="P869" s="2">
        <v>30.04</v>
      </c>
    </row>
    <row r="870" spans="1:16" x14ac:dyDescent="0.25">
      <c r="A870" t="s">
        <v>15</v>
      </c>
      <c r="B870" t="s">
        <v>1119</v>
      </c>
      <c r="C870" t="s">
        <v>58</v>
      </c>
      <c r="D870" t="s">
        <v>1190</v>
      </c>
      <c r="E870" t="s">
        <v>19</v>
      </c>
      <c r="F870" t="s">
        <v>1191</v>
      </c>
      <c r="G870" s="1">
        <f>45805</f>
        <v>45805</v>
      </c>
      <c r="H870" t="s">
        <v>56</v>
      </c>
      <c r="I870" s="2">
        <v>286.2</v>
      </c>
      <c r="J870" s="2">
        <v>179.8</v>
      </c>
      <c r="K870" s="2">
        <v>106.4</v>
      </c>
      <c r="L870" s="2">
        <v>37.18</v>
      </c>
      <c r="M870" s="2">
        <v>286.2</v>
      </c>
      <c r="N870" s="2">
        <v>179.8</v>
      </c>
      <c r="O870" s="2">
        <v>56.4</v>
      </c>
      <c r="P870" s="2">
        <v>37.18</v>
      </c>
    </row>
    <row r="871" spans="1:16" x14ac:dyDescent="0.25">
      <c r="A871" t="s">
        <v>15</v>
      </c>
      <c r="B871" t="s">
        <v>1119</v>
      </c>
      <c r="C871" t="s">
        <v>58</v>
      </c>
      <c r="D871" t="s">
        <v>1192</v>
      </c>
      <c r="E871" t="s">
        <v>1193</v>
      </c>
      <c r="F871" t="s">
        <v>713</v>
      </c>
      <c r="G871" s="1">
        <f>45799</f>
        <v>45799</v>
      </c>
      <c r="H871" t="s">
        <v>56</v>
      </c>
      <c r="I871" s="2">
        <v>7614.3</v>
      </c>
      <c r="J871" s="2">
        <v>3658.13</v>
      </c>
      <c r="K871" s="2">
        <v>3956.17</v>
      </c>
      <c r="L871" s="2">
        <v>51.96</v>
      </c>
      <c r="M871" s="2">
        <v>7614.3</v>
      </c>
      <c r="N871" s="2">
        <v>3658.08</v>
      </c>
      <c r="O871" s="2">
        <v>3602.79</v>
      </c>
      <c r="P871" s="2">
        <v>51.96</v>
      </c>
    </row>
    <row r="872" spans="1:16" x14ac:dyDescent="0.25">
      <c r="A872" t="s">
        <v>15</v>
      </c>
      <c r="B872" t="s">
        <v>1119</v>
      </c>
      <c r="C872" t="s">
        <v>58</v>
      </c>
      <c r="D872" t="s">
        <v>1194</v>
      </c>
      <c r="E872" t="s">
        <v>19</v>
      </c>
      <c r="F872" t="s">
        <v>1195</v>
      </c>
      <c r="G872" s="1">
        <f>45799</f>
        <v>45799</v>
      </c>
      <c r="H872" t="s">
        <v>56</v>
      </c>
      <c r="I872" s="2">
        <v>220</v>
      </c>
      <c r="J872" s="2">
        <v>64</v>
      </c>
      <c r="K872" s="2">
        <v>156</v>
      </c>
      <c r="L872" s="2">
        <v>70.91</v>
      </c>
      <c r="M872" s="2">
        <v>0</v>
      </c>
      <c r="N872" s="2">
        <v>64</v>
      </c>
      <c r="O872" s="2">
        <v>-64</v>
      </c>
      <c r="P872" s="2">
        <v>0</v>
      </c>
    </row>
    <row r="873" spans="1:16" x14ac:dyDescent="0.25">
      <c r="A873" t="s">
        <v>15</v>
      </c>
      <c r="B873" t="s">
        <v>1119</v>
      </c>
      <c r="C873" t="s">
        <v>58</v>
      </c>
      <c r="D873" t="s">
        <v>1196</v>
      </c>
      <c r="E873" t="s">
        <v>19</v>
      </c>
      <c r="F873" t="s">
        <v>164</v>
      </c>
      <c r="G873" s="1">
        <f>45798</f>
        <v>45798</v>
      </c>
      <c r="H873" t="s">
        <v>56</v>
      </c>
      <c r="I873" s="2">
        <v>262.10000000000002</v>
      </c>
      <c r="J873" s="2">
        <v>96.01</v>
      </c>
      <c r="K873" s="2">
        <v>166.09</v>
      </c>
      <c r="L873" s="2">
        <v>63.37</v>
      </c>
      <c r="M873" s="2">
        <v>262.10000000000002</v>
      </c>
      <c r="N873" s="2">
        <v>96.01</v>
      </c>
      <c r="O873" s="2">
        <v>166.09</v>
      </c>
      <c r="P873" s="2">
        <v>63.37</v>
      </c>
    </row>
    <row r="874" spans="1:16" x14ac:dyDescent="0.25">
      <c r="A874" t="s">
        <v>15</v>
      </c>
      <c r="B874" t="s">
        <v>1119</v>
      </c>
      <c r="C874" t="s">
        <v>187</v>
      </c>
      <c r="D874" t="s">
        <v>1197</v>
      </c>
      <c r="E874" t="s">
        <v>19</v>
      </c>
      <c r="F874" t="s">
        <v>191</v>
      </c>
      <c r="G874" s="1">
        <f>45782</f>
        <v>45782</v>
      </c>
      <c r="H874" t="s">
        <v>51</v>
      </c>
      <c r="I874" s="2">
        <v>385.65</v>
      </c>
      <c r="J874" s="2">
        <v>208.3</v>
      </c>
      <c r="K874" s="2">
        <v>177.35</v>
      </c>
      <c r="L874" s="2">
        <v>45.99</v>
      </c>
      <c r="M874" s="2">
        <v>385.65</v>
      </c>
      <c r="N874" s="2">
        <v>208.3</v>
      </c>
      <c r="O874" s="2">
        <v>139.35</v>
      </c>
      <c r="P874" s="2">
        <v>45.99</v>
      </c>
    </row>
    <row r="875" spans="1:16" x14ac:dyDescent="0.25">
      <c r="A875" t="s">
        <v>15</v>
      </c>
      <c r="B875" t="s">
        <v>1119</v>
      </c>
      <c r="C875" t="s">
        <v>187</v>
      </c>
      <c r="D875" t="s">
        <v>1198</v>
      </c>
      <c r="E875" t="s">
        <v>19</v>
      </c>
      <c r="F875" t="s">
        <v>1199</v>
      </c>
      <c r="G875" s="1">
        <f>45791</f>
        <v>45791</v>
      </c>
      <c r="H875" t="s">
        <v>51</v>
      </c>
      <c r="I875" s="2">
        <v>1483.2</v>
      </c>
      <c r="J875" s="2">
        <v>981.61</v>
      </c>
      <c r="K875" s="2">
        <v>501.59</v>
      </c>
      <c r="L875" s="2">
        <v>33.82</v>
      </c>
      <c r="M875" s="2">
        <v>1483.2</v>
      </c>
      <c r="N875" s="2">
        <v>981.61</v>
      </c>
      <c r="O875" s="2">
        <v>483.91</v>
      </c>
      <c r="P875" s="2">
        <v>33.82</v>
      </c>
    </row>
    <row r="876" spans="1:16" x14ac:dyDescent="0.25">
      <c r="A876" t="s">
        <v>15</v>
      </c>
      <c r="B876" t="s">
        <v>1119</v>
      </c>
      <c r="C876" t="s">
        <v>187</v>
      </c>
      <c r="D876" t="s">
        <v>1200</v>
      </c>
      <c r="E876" t="s">
        <v>19</v>
      </c>
      <c r="F876" t="s">
        <v>507</v>
      </c>
      <c r="G876" s="1">
        <f>45783</f>
        <v>45783</v>
      </c>
      <c r="H876" t="s">
        <v>51</v>
      </c>
      <c r="I876" s="2">
        <v>935.7</v>
      </c>
      <c r="J876" s="2">
        <v>536.64</v>
      </c>
      <c r="K876" s="2">
        <v>399.06</v>
      </c>
      <c r="L876" s="2">
        <v>42.65</v>
      </c>
      <c r="M876" s="2">
        <v>935.7</v>
      </c>
      <c r="N876" s="2">
        <v>536.59</v>
      </c>
      <c r="O876" s="2">
        <v>325.64999999999998</v>
      </c>
      <c r="P876" s="2">
        <v>42.65</v>
      </c>
    </row>
    <row r="877" spans="1:16" x14ac:dyDescent="0.25">
      <c r="A877" t="s">
        <v>15</v>
      </c>
      <c r="B877" t="s">
        <v>1119</v>
      </c>
      <c r="C877" t="s">
        <v>187</v>
      </c>
      <c r="D877" t="s">
        <v>1201</v>
      </c>
      <c r="E877" t="s">
        <v>19</v>
      </c>
      <c r="F877" t="s">
        <v>235</v>
      </c>
      <c r="G877" s="1">
        <f>45784</f>
        <v>45784</v>
      </c>
      <c r="H877" t="s">
        <v>51</v>
      </c>
      <c r="I877" s="2">
        <v>3567</v>
      </c>
      <c r="J877" s="2">
        <v>2486.6</v>
      </c>
      <c r="K877" s="2">
        <v>1080.4000000000001</v>
      </c>
      <c r="L877" s="2">
        <v>30.29</v>
      </c>
      <c r="M877" s="2">
        <v>3567</v>
      </c>
      <c r="N877" s="2">
        <v>2486.58</v>
      </c>
      <c r="O877" s="2">
        <v>1065.42</v>
      </c>
      <c r="P877" s="2">
        <v>30.29</v>
      </c>
    </row>
    <row r="878" spans="1:16" x14ac:dyDescent="0.25">
      <c r="A878" t="s">
        <v>15</v>
      </c>
      <c r="B878" t="s">
        <v>1119</v>
      </c>
      <c r="C878" t="s">
        <v>187</v>
      </c>
      <c r="D878" t="s">
        <v>1202</v>
      </c>
      <c r="E878" t="s">
        <v>19</v>
      </c>
      <c r="F878" t="s">
        <v>1203</v>
      </c>
      <c r="G878" s="1">
        <f>45789</f>
        <v>45789</v>
      </c>
      <c r="H878" t="s">
        <v>56</v>
      </c>
      <c r="I878" s="2">
        <v>390</v>
      </c>
      <c r="J878" s="2">
        <v>259.14999999999998</v>
      </c>
      <c r="K878" s="2">
        <v>130.85</v>
      </c>
      <c r="L878" s="2">
        <v>33.549999999999997</v>
      </c>
      <c r="M878" s="2">
        <v>390</v>
      </c>
      <c r="N878" s="2">
        <v>259.14999999999998</v>
      </c>
      <c r="O878" s="2">
        <v>105.85</v>
      </c>
      <c r="P878" s="2">
        <v>33.549999999999997</v>
      </c>
    </row>
    <row r="879" spans="1:16" x14ac:dyDescent="0.25">
      <c r="A879" t="s">
        <v>15</v>
      </c>
      <c r="B879" t="s">
        <v>1119</v>
      </c>
      <c r="C879" t="s">
        <v>187</v>
      </c>
      <c r="D879" t="s">
        <v>1204</v>
      </c>
      <c r="E879" t="s">
        <v>19</v>
      </c>
      <c r="F879" t="s">
        <v>193</v>
      </c>
      <c r="G879" s="1">
        <f>45789</f>
        <v>45789</v>
      </c>
      <c r="H879" t="s">
        <v>51</v>
      </c>
      <c r="I879" s="2">
        <v>1127.55</v>
      </c>
      <c r="J879" s="2">
        <v>806</v>
      </c>
      <c r="K879" s="2">
        <v>321.55</v>
      </c>
      <c r="L879" s="2">
        <v>28.52</v>
      </c>
      <c r="M879" s="2">
        <v>1127.55</v>
      </c>
      <c r="N879" s="2">
        <v>806</v>
      </c>
      <c r="O879" s="2">
        <v>264.05</v>
      </c>
      <c r="P879" s="2">
        <v>28.52</v>
      </c>
    </row>
    <row r="880" spans="1:16" x14ac:dyDescent="0.25">
      <c r="A880" t="s">
        <v>15</v>
      </c>
      <c r="B880" t="s">
        <v>1119</v>
      </c>
      <c r="C880" t="s">
        <v>187</v>
      </c>
      <c r="D880" t="s">
        <v>1205</v>
      </c>
      <c r="E880" t="s">
        <v>19</v>
      </c>
      <c r="F880" t="s">
        <v>1203</v>
      </c>
      <c r="G880" s="1">
        <f>45791</f>
        <v>45791</v>
      </c>
      <c r="H880" t="s">
        <v>56</v>
      </c>
      <c r="I880" s="2">
        <v>146.80000000000001</v>
      </c>
      <c r="J880" s="2">
        <v>76.5</v>
      </c>
      <c r="K880" s="2">
        <v>70.3</v>
      </c>
      <c r="L880" s="2">
        <v>47.89</v>
      </c>
      <c r="M880" s="2">
        <v>146.80000000000001</v>
      </c>
      <c r="N880" s="2">
        <v>76.5</v>
      </c>
      <c r="O880" s="2">
        <v>30.3</v>
      </c>
      <c r="P880" s="2">
        <v>47.89</v>
      </c>
    </row>
    <row r="881" spans="1:16" x14ac:dyDescent="0.25">
      <c r="A881" t="s">
        <v>15</v>
      </c>
      <c r="B881" t="s">
        <v>1119</v>
      </c>
      <c r="C881" t="s">
        <v>187</v>
      </c>
      <c r="D881" t="s">
        <v>1206</v>
      </c>
      <c r="E881" t="s">
        <v>19</v>
      </c>
      <c r="F881" t="s">
        <v>501</v>
      </c>
      <c r="G881" s="1">
        <f>45790</f>
        <v>45790</v>
      </c>
      <c r="H881" t="s">
        <v>51</v>
      </c>
      <c r="I881" s="2">
        <v>13311</v>
      </c>
      <c r="J881" s="2">
        <v>9028</v>
      </c>
      <c r="K881" s="2">
        <v>4283</v>
      </c>
      <c r="L881" s="2">
        <v>32.18</v>
      </c>
      <c r="M881" s="2">
        <v>13311</v>
      </c>
      <c r="N881" s="2">
        <v>9028</v>
      </c>
      <c r="O881" s="2">
        <v>4116</v>
      </c>
      <c r="P881" s="2">
        <v>32.18</v>
      </c>
    </row>
    <row r="882" spans="1:16" x14ac:dyDescent="0.25">
      <c r="A882" t="s">
        <v>15</v>
      </c>
      <c r="B882" t="s">
        <v>1119</v>
      </c>
      <c r="C882" t="s">
        <v>187</v>
      </c>
      <c r="D882" t="s">
        <v>1207</v>
      </c>
      <c r="E882" t="s">
        <v>19</v>
      </c>
      <c r="F882" t="s">
        <v>1208</v>
      </c>
      <c r="G882" s="1">
        <f>45790</f>
        <v>45790</v>
      </c>
      <c r="H882" t="s">
        <v>51</v>
      </c>
      <c r="I882" s="2">
        <v>383.4</v>
      </c>
      <c r="J882" s="2">
        <v>267.52999999999997</v>
      </c>
      <c r="K882" s="2">
        <v>115.87</v>
      </c>
      <c r="L882" s="2">
        <v>30.22</v>
      </c>
      <c r="M882" s="2">
        <v>383.4</v>
      </c>
      <c r="N882" s="2">
        <v>262.92</v>
      </c>
      <c r="O882" s="2">
        <v>78.48</v>
      </c>
      <c r="P882" s="2">
        <v>31.42</v>
      </c>
    </row>
    <row r="883" spans="1:16" x14ac:dyDescent="0.25">
      <c r="A883" t="s">
        <v>15</v>
      </c>
      <c r="B883" t="s">
        <v>1119</v>
      </c>
      <c r="C883" t="s">
        <v>187</v>
      </c>
      <c r="D883" t="s">
        <v>1209</v>
      </c>
      <c r="E883" t="s">
        <v>19</v>
      </c>
      <c r="F883" t="s">
        <v>1210</v>
      </c>
      <c r="G883" s="1">
        <f>45790</f>
        <v>45790</v>
      </c>
      <c r="H883" t="s">
        <v>51</v>
      </c>
      <c r="I883" s="2">
        <v>1535.8</v>
      </c>
      <c r="J883" s="2">
        <v>1008.07</v>
      </c>
      <c r="K883" s="2">
        <v>527.73</v>
      </c>
      <c r="L883" s="2">
        <v>34.36</v>
      </c>
      <c r="M883" s="2">
        <v>1535.8</v>
      </c>
      <c r="N883" s="2">
        <v>1008.07</v>
      </c>
      <c r="O883" s="2">
        <v>488.66</v>
      </c>
      <c r="P883" s="2">
        <v>34.36</v>
      </c>
    </row>
    <row r="884" spans="1:16" x14ac:dyDescent="0.25">
      <c r="A884" t="s">
        <v>15</v>
      </c>
      <c r="B884" t="s">
        <v>1119</v>
      </c>
      <c r="C884" t="s">
        <v>187</v>
      </c>
      <c r="D884" t="s">
        <v>1211</v>
      </c>
      <c r="E884" t="s">
        <v>19</v>
      </c>
      <c r="F884" t="s">
        <v>189</v>
      </c>
      <c r="G884" s="1">
        <f>45789</f>
        <v>45789</v>
      </c>
      <c r="H884" t="s">
        <v>51</v>
      </c>
      <c r="I884" s="2">
        <v>1910.4</v>
      </c>
      <c r="J884" s="2">
        <v>1292.08</v>
      </c>
      <c r="K884" s="2">
        <v>618.32000000000005</v>
      </c>
      <c r="L884" s="2">
        <v>32.369999999999997</v>
      </c>
      <c r="M884" s="2">
        <v>1910.4</v>
      </c>
      <c r="N884" s="2">
        <v>1292.08</v>
      </c>
      <c r="O884" s="2">
        <v>608.32000000000005</v>
      </c>
      <c r="P884" s="2">
        <v>32.369999999999997</v>
      </c>
    </row>
    <row r="885" spans="1:16" x14ac:dyDescent="0.25">
      <c r="A885" t="s">
        <v>15</v>
      </c>
      <c r="B885" t="s">
        <v>1119</v>
      </c>
      <c r="C885" t="s">
        <v>187</v>
      </c>
      <c r="D885" t="s">
        <v>1212</v>
      </c>
      <c r="E885" t="s">
        <v>19</v>
      </c>
      <c r="F885" t="s">
        <v>200</v>
      </c>
      <c r="G885" s="1">
        <f>45790</f>
        <v>45790</v>
      </c>
      <c r="H885" t="s">
        <v>51</v>
      </c>
      <c r="I885" s="2">
        <v>1937</v>
      </c>
      <c r="J885" s="2">
        <v>1279</v>
      </c>
      <c r="K885" s="2">
        <v>658</v>
      </c>
      <c r="L885" s="2">
        <v>33.97</v>
      </c>
      <c r="M885" s="2">
        <v>1937</v>
      </c>
      <c r="N885" s="2">
        <v>1321</v>
      </c>
      <c r="O885" s="2">
        <v>581</v>
      </c>
      <c r="P885" s="2">
        <v>31.8</v>
      </c>
    </row>
    <row r="886" spans="1:16" x14ac:dyDescent="0.25">
      <c r="A886" t="s">
        <v>15</v>
      </c>
      <c r="B886" t="s">
        <v>1119</v>
      </c>
      <c r="C886" t="s">
        <v>187</v>
      </c>
      <c r="D886" t="s">
        <v>1213</v>
      </c>
      <c r="E886" t="s">
        <v>19</v>
      </c>
      <c r="F886" t="s">
        <v>191</v>
      </c>
      <c r="G886" s="1">
        <f>45791</f>
        <v>45791</v>
      </c>
      <c r="H886" t="s">
        <v>51</v>
      </c>
      <c r="I886" s="2">
        <v>2882.61</v>
      </c>
      <c r="J886" s="2">
        <v>1848.05</v>
      </c>
      <c r="K886" s="2">
        <v>1034.56</v>
      </c>
      <c r="L886" s="2">
        <v>35.89</v>
      </c>
      <c r="M886" s="2">
        <v>2882.61</v>
      </c>
      <c r="N886" s="2">
        <v>1848.05</v>
      </c>
      <c r="O886" s="2">
        <v>911.56</v>
      </c>
      <c r="P886" s="2">
        <v>35.89</v>
      </c>
    </row>
    <row r="887" spans="1:16" x14ac:dyDescent="0.25">
      <c r="A887" t="s">
        <v>15</v>
      </c>
      <c r="B887" t="s">
        <v>1119</v>
      </c>
      <c r="C887" t="s">
        <v>187</v>
      </c>
      <c r="D887" t="s">
        <v>1214</v>
      </c>
      <c r="E887" t="s">
        <v>19</v>
      </c>
      <c r="F887" t="s">
        <v>1215</v>
      </c>
      <c r="G887" s="1">
        <f>45792</f>
        <v>45792</v>
      </c>
      <c r="H887" t="s">
        <v>51</v>
      </c>
      <c r="I887" s="2">
        <v>364.68</v>
      </c>
      <c r="J887" s="2">
        <v>207.68</v>
      </c>
      <c r="K887" s="2">
        <v>157</v>
      </c>
      <c r="L887" s="2">
        <v>43.05</v>
      </c>
      <c r="M887" s="2">
        <v>364.68</v>
      </c>
      <c r="N887" s="2">
        <v>207.68</v>
      </c>
      <c r="O887" s="2">
        <v>129</v>
      </c>
      <c r="P887" s="2">
        <v>43.05</v>
      </c>
    </row>
    <row r="888" spans="1:16" x14ac:dyDescent="0.25">
      <c r="A888" t="s">
        <v>15</v>
      </c>
      <c r="B888" t="s">
        <v>1119</v>
      </c>
      <c r="C888" t="s">
        <v>187</v>
      </c>
      <c r="D888" t="s">
        <v>1216</v>
      </c>
      <c r="E888" t="s">
        <v>19</v>
      </c>
      <c r="F888" t="s">
        <v>228</v>
      </c>
      <c r="G888" s="1">
        <f>45792</f>
        <v>45792</v>
      </c>
      <c r="H888" t="s">
        <v>51</v>
      </c>
      <c r="I888" s="2">
        <v>458</v>
      </c>
      <c r="J888" s="2">
        <v>277.8</v>
      </c>
      <c r="K888" s="2">
        <v>180.2</v>
      </c>
      <c r="L888" s="2">
        <v>39.340000000000003</v>
      </c>
      <c r="M888" s="2">
        <v>458</v>
      </c>
      <c r="N888" s="2">
        <v>277.8</v>
      </c>
      <c r="O888" s="2">
        <v>105.2</v>
      </c>
      <c r="P888" s="2">
        <v>39.340000000000003</v>
      </c>
    </row>
    <row r="889" spans="1:16" x14ac:dyDescent="0.25">
      <c r="A889" t="s">
        <v>15</v>
      </c>
      <c r="B889" t="s">
        <v>1119</v>
      </c>
      <c r="C889" t="s">
        <v>187</v>
      </c>
      <c r="D889" t="s">
        <v>1217</v>
      </c>
      <c r="E889" t="s">
        <v>19</v>
      </c>
      <c r="F889" t="s">
        <v>528</v>
      </c>
      <c r="G889" s="1">
        <f>45793</f>
        <v>45793</v>
      </c>
      <c r="H889" t="s">
        <v>51</v>
      </c>
      <c r="I889" s="2">
        <v>2097.8000000000002</v>
      </c>
      <c r="J889" s="2">
        <v>1421.1</v>
      </c>
      <c r="K889" s="2">
        <v>676.7</v>
      </c>
      <c r="L889" s="2">
        <v>32.26</v>
      </c>
      <c r="M889" s="2">
        <v>2097.8000000000002</v>
      </c>
      <c r="N889" s="2">
        <v>1421.11</v>
      </c>
      <c r="O889" s="2">
        <v>611.57000000000005</v>
      </c>
      <c r="P889" s="2">
        <v>32.26</v>
      </c>
    </row>
    <row r="890" spans="1:16" x14ac:dyDescent="0.25">
      <c r="A890" t="s">
        <v>15</v>
      </c>
      <c r="B890" t="s">
        <v>1119</v>
      </c>
      <c r="C890" t="s">
        <v>187</v>
      </c>
      <c r="D890" t="s">
        <v>1218</v>
      </c>
      <c r="E890" t="s">
        <v>19</v>
      </c>
      <c r="F890" t="s">
        <v>219</v>
      </c>
      <c r="G890" s="1">
        <f>45793</f>
        <v>45793</v>
      </c>
      <c r="H890" t="s">
        <v>51</v>
      </c>
      <c r="I890" s="2">
        <v>183.64</v>
      </c>
      <c r="J890" s="2">
        <v>132.19999999999999</v>
      </c>
      <c r="K890" s="2">
        <v>51.44</v>
      </c>
      <c r="L890" s="2">
        <v>28.01</v>
      </c>
      <c r="M890" s="2">
        <v>183.64</v>
      </c>
      <c r="N890" s="2">
        <v>128.27000000000001</v>
      </c>
      <c r="O890" s="2">
        <v>46.37</v>
      </c>
      <c r="P890" s="2">
        <v>30.15</v>
      </c>
    </row>
    <row r="891" spans="1:16" x14ac:dyDescent="0.25">
      <c r="A891" t="s">
        <v>15</v>
      </c>
      <c r="B891" t="s">
        <v>1119</v>
      </c>
      <c r="C891" t="s">
        <v>187</v>
      </c>
      <c r="D891" t="s">
        <v>1219</v>
      </c>
      <c r="E891" t="s">
        <v>19</v>
      </c>
      <c r="F891" t="s">
        <v>224</v>
      </c>
      <c r="G891" s="1">
        <f>45793</f>
        <v>45793</v>
      </c>
      <c r="H891" t="s">
        <v>51</v>
      </c>
      <c r="I891" s="2">
        <v>326.57</v>
      </c>
      <c r="J891" s="2">
        <v>222.2</v>
      </c>
      <c r="K891" s="2">
        <v>104.37</v>
      </c>
      <c r="L891" s="2">
        <v>31.96</v>
      </c>
      <c r="M891" s="2">
        <v>-326.57</v>
      </c>
      <c r="N891" s="2">
        <v>204.2</v>
      </c>
      <c r="O891" s="2">
        <v>-539.77</v>
      </c>
      <c r="P891" s="2">
        <v>162.53</v>
      </c>
    </row>
    <row r="892" spans="1:16" x14ac:dyDescent="0.25">
      <c r="A892" t="s">
        <v>15</v>
      </c>
      <c r="B892" t="s">
        <v>1119</v>
      </c>
      <c r="C892" t="s">
        <v>187</v>
      </c>
      <c r="D892" t="s">
        <v>1220</v>
      </c>
      <c r="E892" t="s">
        <v>19</v>
      </c>
      <c r="F892" t="s">
        <v>204</v>
      </c>
      <c r="G892" s="1">
        <f>45797</f>
        <v>45797</v>
      </c>
      <c r="H892" t="s">
        <v>51</v>
      </c>
      <c r="I892" s="2">
        <v>421.61</v>
      </c>
      <c r="J892" s="2">
        <v>295.56</v>
      </c>
      <c r="K892" s="2">
        <v>126.05</v>
      </c>
      <c r="L892" s="2">
        <v>29.9</v>
      </c>
      <c r="M892" s="2">
        <v>421.61</v>
      </c>
      <c r="N892" s="2">
        <v>289.85000000000002</v>
      </c>
      <c r="O892" s="2">
        <v>121.76</v>
      </c>
      <c r="P892" s="2">
        <v>31.25</v>
      </c>
    </row>
    <row r="893" spans="1:16" x14ac:dyDescent="0.25">
      <c r="A893" t="s">
        <v>15</v>
      </c>
      <c r="B893" t="s">
        <v>1119</v>
      </c>
      <c r="C893" t="s">
        <v>187</v>
      </c>
      <c r="D893" t="s">
        <v>1221</v>
      </c>
      <c r="E893" t="s">
        <v>19</v>
      </c>
      <c r="F893" t="s">
        <v>501</v>
      </c>
      <c r="G893" s="1">
        <f>45797</f>
        <v>45797</v>
      </c>
      <c r="H893" t="s">
        <v>51</v>
      </c>
      <c r="I893" s="2">
        <v>1307.9000000000001</v>
      </c>
      <c r="J893" s="2">
        <v>1035.58</v>
      </c>
      <c r="K893" s="2">
        <v>272.32</v>
      </c>
      <c r="L893" s="2">
        <v>20.82</v>
      </c>
      <c r="M893" s="2">
        <v>1307.9000000000001</v>
      </c>
      <c r="N893" s="2">
        <v>1035.58</v>
      </c>
      <c r="O893" s="2">
        <v>272.32</v>
      </c>
      <c r="P893" s="2">
        <v>20.82</v>
      </c>
    </row>
    <row r="894" spans="1:16" x14ac:dyDescent="0.25">
      <c r="A894" t="s">
        <v>15</v>
      </c>
      <c r="B894" t="s">
        <v>1119</v>
      </c>
      <c r="C894" t="s">
        <v>187</v>
      </c>
      <c r="D894" t="s">
        <v>1222</v>
      </c>
      <c r="E894" t="s">
        <v>19</v>
      </c>
      <c r="F894" t="s">
        <v>1223</v>
      </c>
      <c r="G894" s="1">
        <f>45798</f>
        <v>45798</v>
      </c>
      <c r="H894" t="s">
        <v>51</v>
      </c>
      <c r="I894" s="2">
        <v>561.6</v>
      </c>
      <c r="J894" s="2">
        <v>373.92</v>
      </c>
      <c r="K894" s="2">
        <v>187.68</v>
      </c>
      <c r="L894" s="2">
        <v>33.42</v>
      </c>
      <c r="M894" s="2">
        <v>561.6</v>
      </c>
      <c r="N894" s="2">
        <v>373.92</v>
      </c>
      <c r="O894" s="2">
        <v>178.68</v>
      </c>
      <c r="P894" s="2">
        <v>33.42</v>
      </c>
    </row>
    <row r="895" spans="1:16" x14ac:dyDescent="0.25">
      <c r="A895" t="s">
        <v>15</v>
      </c>
      <c r="B895" t="s">
        <v>1119</v>
      </c>
      <c r="C895" t="s">
        <v>187</v>
      </c>
      <c r="D895" t="s">
        <v>1224</v>
      </c>
      <c r="E895" t="s">
        <v>19</v>
      </c>
      <c r="F895" t="s">
        <v>193</v>
      </c>
      <c r="G895" s="1">
        <f>45798</f>
        <v>45798</v>
      </c>
      <c r="H895" t="s">
        <v>51</v>
      </c>
      <c r="I895" s="2">
        <v>348.25</v>
      </c>
      <c r="J895" s="2">
        <v>230.85</v>
      </c>
      <c r="K895" s="2">
        <v>117.4</v>
      </c>
      <c r="L895" s="2">
        <v>33.71</v>
      </c>
      <c r="M895" s="2">
        <v>348.25</v>
      </c>
      <c r="N895" s="2">
        <v>230.85</v>
      </c>
      <c r="O895" s="2">
        <v>85.9</v>
      </c>
      <c r="P895" s="2">
        <v>33.71</v>
      </c>
    </row>
    <row r="896" spans="1:16" x14ac:dyDescent="0.25">
      <c r="A896" t="s">
        <v>15</v>
      </c>
      <c r="B896" t="s">
        <v>1119</v>
      </c>
      <c r="C896" t="s">
        <v>187</v>
      </c>
      <c r="D896" t="s">
        <v>1225</v>
      </c>
      <c r="E896" t="s">
        <v>19</v>
      </c>
      <c r="F896" t="s">
        <v>211</v>
      </c>
      <c r="G896" s="1">
        <f>45800</f>
        <v>45800</v>
      </c>
      <c r="H896" t="s">
        <v>51</v>
      </c>
      <c r="I896" s="2">
        <v>998</v>
      </c>
      <c r="J896" s="2">
        <v>618.66</v>
      </c>
      <c r="K896" s="2">
        <v>379.34</v>
      </c>
      <c r="L896" s="2">
        <v>38.01</v>
      </c>
      <c r="M896" s="2">
        <v>998</v>
      </c>
      <c r="N896" s="2">
        <v>618.66</v>
      </c>
      <c r="O896" s="2">
        <v>379.34</v>
      </c>
      <c r="P896" s="2">
        <v>38.01</v>
      </c>
    </row>
    <row r="897" spans="1:16" x14ac:dyDescent="0.25">
      <c r="A897" t="s">
        <v>15</v>
      </c>
      <c r="B897" t="s">
        <v>1119</v>
      </c>
      <c r="C897" t="s">
        <v>187</v>
      </c>
      <c r="D897" t="s">
        <v>1226</v>
      </c>
      <c r="E897" t="s">
        <v>19</v>
      </c>
      <c r="F897" t="s">
        <v>191</v>
      </c>
      <c r="G897" s="1">
        <f>45800</f>
        <v>45800</v>
      </c>
      <c r="H897" t="s">
        <v>51</v>
      </c>
      <c r="I897" s="2">
        <v>7695</v>
      </c>
      <c r="J897" s="2">
        <v>5129</v>
      </c>
      <c r="K897" s="2">
        <v>2566</v>
      </c>
      <c r="L897" s="2">
        <v>33.35</v>
      </c>
      <c r="M897" s="2">
        <v>7695</v>
      </c>
      <c r="N897" s="2">
        <v>5129</v>
      </c>
      <c r="O897" s="2">
        <v>2437</v>
      </c>
      <c r="P897" s="2">
        <v>33.35</v>
      </c>
    </row>
    <row r="898" spans="1:16" x14ac:dyDescent="0.25">
      <c r="A898" t="s">
        <v>15</v>
      </c>
      <c r="B898" t="s">
        <v>1119</v>
      </c>
      <c r="C898" t="s">
        <v>187</v>
      </c>
      <c r="D898" t="s">
        <v>1227</v>
      </c>
      <c r="E898" t="s">
        <v>19</v>
      </c>
      <c r="F898" t="s">
        <v>189</v>
      </c>
      <c r="G898" s="1">
        <f>45803</f>
        <v>45803</v>
      </c>
      <c r="H898" t="s">
        <v>51</v>
      </c>
      <c r="I898" s="2">
        <v>491.75</v>
      </c>
      <c r="J898" s="2">
        <v>327.14999999999998</v>
      </c>
      <c r="K898" s="2">
        <v>164.6</v>
      </c>
      <c r="L898" s="2">
        <v>33.47</v>
      </c>
      <c r="M898" s="2">
        <v>491.75</v>
      </c>
      <c r="N898" s="2">
        <v>327.14999999999998</v>
      </c>
      <c r="O898" s="2">
        <v>154.6</v>
      </c>
      <c r="P898" s="2">
        <v>33.47</v>
      </c>
    </row>
    <row r="899" spans="1:16" x14ac:dyDescent="0.25">
      <c r="A899" t="s">
        <v>15</v>
      </c>
      <c r="B899" t="s">
        <v>1119</v>
      </c>
      <c r="C899" t="s">
        <v>187</v>
      </c>
      <c r="D899" t="s">
        <v>1228</v>
      </c>
      <c r="E899" t="s">
        <v>19</v>
      </c>
      <c r="F899" t="s">
        <v>1229</v>
      </c>
      <c r="G899" s="1">
        <f>45803</f>
        <v>45803</v>
      </c>
      <c r="H899" t="s">
        <v>51</v>
      </c>
      <c r="I899" s="2">
        <v>299.10000000000002</v>
      </c>
      <c r="J899" s="2">
        <v>201.78</v>
      </c>
      <c r="K899" s="2">
        <v>97.32</v>
      </c>
      <c r="L899" s="2">
        <v>32.54</v>
      </c>
      <c r="M899" s="2">
        <v>299.10000000000002</v>
      </c>
      <c r="N899" s="2">
        <v>201.78</v>
      </c>
      <c r="O899" s="2">
        <v>87.32</v>
      </c>
      <c r="P899" s="2">
        <v>32.54</v>
      </c>
    </row>
    <row r="900" spans="1:16" x14ac:dyDescent="0.25">
      <c r="A900" t="s">
        <v>15</v>
      </c>
      <c r="B900" t="s">
        <v>1119</v>
      </c>
      <c r="C900" t="s">
        <v>187</v>
      </c>
      <c r="D900" t="s">
        <v>1230</v>
      </c>
      <c r="E900" t="s">
        <v>19</v>
      </c>
      <c r="F900" t="s">
        <v>219</v>
      </c>
      <c r="G900" s="1">
        <f>45804</f>
        <v>45804</v>
      </c>
      <c r="H900" t="s">
        <v>51</v>
      </c>
      <c r="I900" s="2">
        <v>255.52</v>
      </c>
      <c r="J900" s="2">
        <v>184.07</v>
      </c>
      <c r="K900" s="2">
        <v>71.45</v>
      </c>
      <c r="L900" s="2">
        <v>27.96</v>
      </c>
      <c r="M900" s="2">
        <v>255.52</v>
      </c>
      <c r="N900" s="2">
        <v>187.58</v>
      </c>
      <c r="O900" s="2">
        <v>55.51</v>
      </c>
      <c r="P900" s="2">
        <v>26.59</v>
      </c>
    </row>
    <row r="901" spans="1:16" x14ac:dyDescent="0.25">
      <c r="A901" t="s">
        <v>15</v>
      </c>
      <c r="B901" t="s">
        <v>1119</v>
      </c>
      <c r="C901" t="s">
        <v>187</v>
      </c>
      <c r="D901" t="s">
        <v>1231</v>
      </c>
      <c r="E901" t="s">
        <v>19</v>
      </c>
      <c r="F901" t="s">
        <v>228</v>
      </c>
      <c r="G901" s="1">
        <f>45804</f>
        <v>45804</v>
      </c>
      <c r="H901" t="s">
        <v>51</v>
      </c>
      <c r="I901" s="2">
        <v>783.6</v>
      </c>
      <c r="J901" s="2">
        <v>395.7</v>
      </c>
      <c r="K901" s="2">
        <v>387.9</v>
      </c>
      <c r="L901" s="2">
        <v>49.5</v>
      </c>
      <c r="M901" s="2">
        <v>783.6</v>
      </c>
      <c r="N901" s="2">
        <v>395.7</v>
      </c>
      <c r="O901" s="2">
        <v>340.6</v>
      </c>
      <c r="P901" s="2">
        <v>49.5</v>
      </c>
    </row>
    <row r="902" spans="1:16" x14ac:dyDescent="0.25">
      <c r="A902" t="s">
        <v>15</v>
      </c>
      <c r="B902" t="s">
        <v>1119</v>
      </c>
      <c r="C902" t="s">
        <v>1232</v>
      </c>
      <c r="D902" t="s">
        <v>1233</v>
      </c>
      <c r="E902" t="s">
        <v>19</v>
      </c>
      <c r="F902" t="s">
        <v>1234</v>
      </c>
      <c r="G902" s="1">
        <f>45793</f>
        <v>45793</v>
      </c>
      <c r="H902" t="s">
        <v>51</v>
      </c>
      <c r="I902" s="2">
        <v>72612</v>
      </c>
      <c r="J902" s="2">
        <v>52985.99</v>
      </c>
      <c r="K902" s="2">
        <v>19626.009999999998</v>
      </c>
      <c r="L902" s="2">
        <v>27.03</v>
      </c>
      <c r="M902" s="2">
        <v>72612</v>
      </c>
      <c r="N902" s="2">
        <v>52985.99</v>
      </c>
      <c r="O902" s="2">
        <v>19528.400000000001</v>
      </c>
      <c r="P902" s="2">
        <v>27.03</v>
      </c>
    </row>
    <row r="903" spans="1:16" x14ac:dyDescent="0.25">
      <c r="A903" t="s">
        <v>15</v>
      </c>
      <c r="B903" t="s">
        <v>1119</v>
      </c>
      <c r="C903" t="s">
        <v>252</v>
      </c>
      <c r="D903" t="s">
        <v>1235</v>
      </c>
      <c r="E903" t="s">
        <v>47</v>
      </c>
      <c r="F903" t="s">
        <v>1236</v>
      </c>
      <c r="G903" s="1">
        <f>45782</f>
        <v>45782</v>
      </c>
      <c r="H903" t="s">
        <v>2422</v>
      </c>
      <c r="I903" s="2">
        <v>150.84</v>
      </c>
      <c r="J903" s="2">
        <v>98.05</v>
      </c>
      <c r="K903" s="2">
        <v>52.79</v>
      </c>
      <c r="L903" s="2">
        <v>35</v>
      </c>
      <c r="M903" s="2">
        <v>150.84</v>
      </c>
      <c r="N903" s="2">
        <v>98.05</v>
      </c>
      <c r="O903" s="2">
        <v>41.06</v>
      </c>
      <c r="P903" s="2">
        <v>35</v>
      </c>
    </row>
    <row r="904" spans="1:16" x14ac:dyDescent="0.25">
      <c r="A904" t="s">
        <v>15</v>
      </c>
      <c r="B904" t="s">
        <v>1119</v>
      </c>
      <c r="C904" t="s">
        <v>252</v>
      </c>
      <c r="D904" t="s">
        <v>1237</v>
      </c>
      <c r="E904" t="s">
        <v>47</v>
      </c>
      <c r="F904" t="s">
        <v>281</v>
      </c>
      <c r="G904" s="1">
        <f>45783</f>
        <v>45783</v>
      </c>
      <c r="H904" t="s">
        <v>2422</v>
      </c>
      <c r="I904" s="2">
        <v>1827.5</v>
      </c>
      <c r="J904" s="2">
        <v>1230.3</v>
      </c>
      <c r="K904" s="2">
        <v>597.20000000000005</v>
      </c>
      <c r="L904" s="2">
        <v>32.68</v>
      </c>
      <c r="M904" s="2">
        <v>1827.5</v>
      </c>
      <c r="N904" s="2">
        <v>1230.3</v>
      </c>
      <c r="O904" s="2">
        <v>545.70000000000005</v>
      </c>
      <c r="P904" s="2">
        <v>32.68</v>
      </c>
    </row>
    <row r="905" spans="1:16" x14ac:dyDescent="0.25">
      <c r="A905" t="s">
        <v>15</v>
      </c>
      <c r="B905" t="s">
        <v>1119</v>
      </c>
      <c r="C905" t="s">
        <v>252</v>
      </c>
      <c r="D905" t="s">
        <v>1238</v>
      </c>
      <c r="E905" t="s">
        <v>47</v>
      </c>
      <c r="F905" t="s">
        <v>269</v>
      </c>
      <c r="G905" s="1">
        <f>45784</f>
        <v>45784</v>
      </c>
      <c r="H905" t="s">
        <v>2422</v>
      </c>
      <c r="I905" s="2">
        <v>2226</v>
      </c>
      <c r="J905" s="2">
        <v>1286.8800000000001</v>
      </c>
      <c r="K905" s="2">
        <v>939.12</v>
      </c>
      <c r="L905" s="2">
        <v>42.19</v>
      </c>
      <c r="M905" s="2">
        <v>1420.3</v>
      </c>
      <c r="N905" s="2">
        <v>851.94</v>
      </c>
      <c r="O905" s="2">
        <v>568.36</v>
      </c>
      <c r="P905" s="2">
        <v>40.020000000000003</v>
      </c>
    </row>
    <row r="906" spans="1:16" x14ac:dyDescent="0.25">
      <c r="A906" t="s">
        <v>15</v>
      </c>
      <c r="B906" t="s">
        <v>1119</v>
      </c>
      <c r="C906" t="s">
        <v>252</v>
      </c>
      <c r="D906" t="s">
        <v>1239</v>
      </c>
      <c r="E906" t="s">
        <v>47</v>
      </c>
      <c r="F906" t="s">
        <v>272</v>
      </c>
      <c r="G906" s="1">
        <f>45784</f>
        <v>45784</v>
      </c>
      <c r="H906" t="s">
        <v>2422</v>
      </c>
      <c r="I906" s="2">
        <v>988.93</v>
      </c>
      <c r="J906" s="2">
        <v>704.98</v>
      </c>
      <c r="K906" s="2">
        <v>283.95</v>
      </c>
      <c r="L906" s="2">
        <v>28.71</v>
      </c>
      <c r="M906" s="2">
        <v>988.93</v>
      </c>
      <c r="N906" s="2">
        <v>704.98</v>
      </c>
      <c r="O906" s="2">
        <v>283.95</v>
      </c>
      <c r="P906" s="2">
        <v>28.71</v>
      </c>
    </row>
    <row r="907" spans="1:16" x14ac:dyDescent="0.25">
      <c r="A907" t="s">
        <v>15</v>
      </c>
      <c r="B907" t="s">
        <v>1119</v>
      </c>
      <c r="C907" t="s">
        <v>252</v>
      </c>
      <c r="D907" t="s">
        <v>1240</v>
      </c>
      <c r="E907" t="s">
        <v>47</v>
      </c>
      <c r="F907" t="s">
        <v>856</v>
      </c>
      <c r="G907" s="1">
        <f>45790</f>
        <v>45790</v>
      </c>
      <c r="H907" t="s">
        <v>2422</v>
      </c>
      <c r="I907" s="2">
        <v>2020.7</v>
      </c>
      <c r="J907" s="2">
        <v>1447.27</v>
      </c>
      <c r="K907" s="2">
        <v>573.42999999999995</v>
      </c>
      <c r="L907" s="2">
        <v>28.38</v>
      </c>
      <c r="M907" s="2">
        <v>2020.7</v>
      </c>
      <c r="N907" s="2">
        <v>1447.26</v>
      </c>
      <c r="O907" s="2">
        <v>487.44</v>
      </c>
      <c r="P907" s="2">
        <v>28.38</v>
      </c>
    </row>
    <row r="908" spans="1:16" x14ac:dyDescent="0.25">
      <c r="A908" t="s">
        <v>15</v>
      </c>
      <c r="B908" t="s">
        <v>1119</v>
      </c>
      <c r="C908" t="s">
        <v>252</v>
      </c>
      <c r="D908" t="s">
        <v>1241</v>
      </c>
      <c r="E908" t="s">
        <v>47</v>
      </c>
      <c r="F908" t="s">
        <v>574</v>
      </c>
      <c r="G908" s="1">
        <f>45790</f>
        <v>45790</v>
      </c>
      <c r="H908" t="s">
        <v>2422</v>
      </c>
      <c r="I908" s="2">
        <v>5499</v>
      </c>
      <c r="J908" s="2">
        <v>3739.33</v>
      </c>
      <c r="K908" s="2">
        <v>1759.67</v>
      </c>
      <c r="L908" s="2">
        <v>32</v>
      </c>
      <c r="M908" s="2">
        <v>5499</v>
      </c>
      <c r="N908" s="2">
        <v>3739.33</v>
      </c>
      <c r="O908" s="2">
        <v>1605.52</v>
      </c>
      <c r="P908" s="2">
        <v>32</v>
      </c>
    </row>
    <row r="909" spans="1:16" x14ac:dyDescent="0.25">
      <c r="A909" t="s">
        <v>15</v>
      </c>
      <c r="B909" t="s">
        <v>1119</v>
      </c>
      <c r="C909" t="s">
        <v>252</v>
      </c>
      <c r="D909" t="s">
        <v>1242</v>
      </c>
      <c r="E909" t="s">
        <v>47</v>
      </c>
      <c r="F909" t="s">
        <v>272</v>
      </c>
      <c r="G909" s="1">
        <f>45790</f>
        <v>45790</v>
      </c>
      <c r="H909" t="s">
        <v>2422</v>
      </c>
      <c r="I909" s="2">
        <v>391.6</v>
      </c>
      <c r="J909" s="2">
        <v>279.16000000000003</v>
      </c>
      <c r="K909" s="2">
        <v>112.44</v>
      </c>
      <c r="L909" s="2">
        <v>28.71</v>
      </c>
      <c r="M909" s="2">
        <v>391.6</v>
      </c>
      <c r="N909" s="2">
        <v>279.16000000000003</v>
      </c>
      <c r="O909" s="2">
        <v>112.44</v>
      </c>
      <c r="P909" s="2">
        <v>28.71</v>
      </c>
    </row>
    <row r="910" spans="1:16" x14ac:dyDescent="0.25">
      <c r="A910" t="s">
        <v>15</v>
      </c>
      <c r="B910" t="s">
        <v>1119</v>
      </c>
      <c r="C910" t="s">
        <v>252</v>
      </c>
      <c r="D910" t="s">
        <v>1243</v>
      </c>
      <c r="E910" t="s">
        <v>47</v>
      </c>
      <c r="F910" t="s">
        <v>286</v>
      </c>
      <c r="G910" s="1">
        <f>45792</f>
        <v>45792</v>
      </c>
      <c r="H910" t="s">
        <v>2422</v>
      </c>
      <c r="I910" s="2">
        <v>26860</v>
      </c>
      <c r="J910" s="2">
        <v>18779</v>
      </c>
      <c r="K910" s="2">
        <v>8081</v>
      </c>
      <c r="L910" s="2">
        <v>30.09</v>
      </c>
      <c r="M910" s="2">
        <v>18801.669999999998</v>
      </c>
      <c r="N910" s="2">
        <v>18779.009999999998</v>
      </c>
      <c r="O910" s="2">
        <v>-242.34</v>
      </c>
      <c r="P910" s="2">
        <v>0.12</v>
      </c>
    </row>
    <row r="911" spans="1:16" x14ac:dyDescent="0.25">
      <c r="A911" t="s">
        <v>15</v>
      </c>
      <c r="B911" t="s">
        <v>1119</v>
      </c>
      <c r="C911" t="s">
        <v>252</v>
      </c>
      <c r="D911" t="s">
        <v>1244</v>
      </c>
      <c r="E911" t="s">
        <v>47</v>
      </c>
      <c r="F911" t="s">
        <v>276</v>
      </c>
      <c r="G911" s="1">
        <f>45791</f>
        <v>45791</v>
      </c>
      <c r="H911" t="s">
        <v>2422</v>
      </c>
      <c r="I911" s="2">
        <v>742.4</v>
      </c>
      <c r="J911" s="2">
        <v>504.85</v>
      </c>
      <c r="K911" s="2">
        <v>237.55</v>
      </c>
      <c r="L911" s="2">
        <v>32</v>
      </c>
      <c r="M911" s="2">
        <v>742.4</v>
      </c>
      <c r="N911" s="2">
        <v>504.85</v>
      </c>
      <c r="O911" s="2">
        <v>198.55</v>
      </c>
      <c r="P911" s="2">
        <v>32</v>
      </c>
    </row>
    <row r="912" spans="1:16" x14ac:dyDescent="0.25">
      <c r="A912" t="s">
        <v>15</v>
      </c>
      <c r="B912" t="s">
        <v>1119</v>
      </c>
      <c r="C912" t="s">
        <v>252</v>
      </c>
      <c r="D912" t="s">
        <v>1245</v>
      </c>
      <c r="E912" t="s">
        <v>47</v>
      </c>
      <c r="F912" t="s">
        <v>265</v>
      </c>
      <c r="G912" s="1">
        <f>45791</f>
        <v>45791</v>
      </c>
      <c r="H912" t="s">
        <v>2422</v>
      </c>
      <c r="I912" s="2">
        <v>9204</v>
      </c>
      <c r="J912" s="2">
        <v>6902</v>
      </c>
      <c r="K912" s="2">
        <v>2302</v>
      </c>
      <c r="L912" s="2">
        <v>25.01</v>
      </c>
      <c r="M912" s="2">
        <v>9204</v>
      </c>
      <c r="N912" s="2">
        <v>6902</v>
      </c>
      <c r="O912" s="2">
        <v>2260</v>
      </c>
      <c r="P912" s="2">
        <v>25.01</v>
      </c>
    </row>
    <row r="913" spans="1:16" x14ac:dyDescent="0.25">
      <c r="A913" t="s">
        <v>15</v>
      </c>
      <c r="B913" t="s">
        <v>1119</v>
      </c>
      <c r="C913" t="s">
        <v>252</v>
      </c>
      <c r="D913" t="s">
        <v>1246</v>
      </c>
      <c r="E913" t="s">
        <v>47</v>
      </c>
      <c r="F913" t="s">
        <v>299</v>
      </c>
      <c r="G913" s="1">
        <f>45792</f>
        <v>45792</v>
      </c>
      <c r="H913" t="s">
        <v>2422</v>
      </c>
      <c r="I913" s="2">
        <v>188</v>
      </c>
      <c r="J913" s="2">
        <v>121.8</v>
      </c>
      <c r="K913" s="2">
        <v>66.2</v>
      </c>
      <c r="L913" s="2">
        <v>35.21</v>
      </c>
      <c r="M913" s="2">
        <v>188</v>
      </c>
      <c r="N913" s="2">
        <v>121.8</v>
      </c>
      <c r="O913" s="2">
        <v>27.2</v>
      </c>
      <c r="P913" s="2">
        <v>35.21</v>
      </c>
    </row>
    <row r="914" spans="1:16" x14ac:dyDescent="0.25">
      <c r="A914" t="s">
        <v>15</v>
      </c>
      <c r="B914" t="s">
        <v>1119</v>
      </c>
      <c r="C914" t="s">
        <v>252</v>
      </c>
      <c r="D914" t="s">
        <v>1247</v>
      </c>
      <c r="E914" t="s">
        <v>47</v>
      </c>
      <c r="F914" t="s">
        <v>254</v>
      </c>
      <c r="G914" s="1">
        <f>45797</f>
        <v>45797</v>
      </c>
      <c r="H914" t="s">
        <v>2422</v>
      </c>
      <c r="I914" s="2">
        <v>426.46</v>
      </c>
      <c r="J914" s="2">
        <v>294.5</v>
      </c>
      <c r="K914" s="2">
        <v>131.96</v>
      </c>
      <c r="L914" s="2">
        <v>30.94</v>
      </c>
      <c r="M914" s="2">
        <v>426.46</v>
      </c>
      <c r="N914" s="2">
        <v>294.5</v>
      </c>
      <c r="O914" s="2">
        <v>110.46</v>
      </c>
      <c r="P914" s="2">
        <v>30.94</v>
      </c>
    </row>
    <row r="915" spans="1:16" x14ac:dyDescent="0.25">
      <c r="A915" t="s">
        <v>15</v>
      </c>
      <c r="B915" t="s">
        <v>1119</v>
      </c>
      <c r="C915" t="s">
        <v>252</v>
      </c>
      <c r="D915" t="s">
        <v>1248</v>
      </c>
      <c r="E915" t="s">
        <v>47</v>
      </c>
      <c r="F915" t="s">
        <v>574</v>
      </c>
      <c r="G915" s="1">
        <f>45797</f>
        <v>45797</v>
      </c>
      <c r="H915" t="s">
        <v>2422</v>
      </c>
      <c r="I915" s="2">
        <v>711.2</v>
      </c>
      <c r="J915" s="2">
        <v>420.36</v>
      </c>
      <c r="K915" s="2">
        <v>290.83999999999997</v>
      </c>
      <c r="L915" s="2">
        <v>40.89</v>
      </c>
      <c r="M915" s="2">
        <v>711.2</v>
      </c>
      <c r="N915" s="2">
        <v>420.36</v>
      </c>
      <c r="O915" s="2">
        <v>248.52</v>
      </c>
      <c r="P915" s="2">
        <v>40.89</v>
      </c>
    </row>
    <row r="916" spans="1:16" x14ac:dyDescent="0.25">
      <c r="A916" t="s">
        <v>15</v>
      </c>
      <c r="B916" t="s">
        <v>1119</v>
      </c>
      <c r="C916" t="s">
        <v>252</v>
      </c>
      <c r="D916" t="s">
        <v>1249</v>
      </c>
      <c r="E916" t="s">
        <v>47</v>
      </c>
      <c r="F916" t="s">
        <v>279</v>
      </c>
      <c r="G916" s="1">
        <f>45797</f>
        <v>45797</v>
      </c>
      <c r="H916" t="s">
        <v>2422</v>
      </c>
      <c r="I916" s="2">
        <v>150.65</v>
      </c>
      <c r="J916" s="2">
        <v>48.55</v>
      </c>
      <c r="K916" s="2">
        <v>102.1</v>
      </c>
      <c r="L916" s="2">
        <v>67.77</v>
      </c>
      <c r="M916" s="2">
        <v>150.65</v>
      </c>
      <c r="N916" s="2">
        <v>48.55</v>
      </c>
      <c r="O916" s="2">
        <v>93.1</v>
      </c>
      <c r="P916" s="2">
        <v>67.77</v>
      </c>
    </row>
    <row r="917" spans="1:16" x14ac:dyDescent="0.25">
      <c r="A917" t="s">
        <v>15</v>
      </c>
      <c r="B917" t="s">
        <v>1119</v>
      </c>
      <c r="C917" t="s">
        <v>252</v>
      </c>
      <c r="D917" t="s">
        <v>1250</v>
      </c>
      <c r="E917" t="s">
        <v>47</v>
      </c>
      <c r="F917" t="s">
        <v>295</v>
      </c>
      <c r="G917" s="1">
        <f>45797</f>
        <v>45797</v>
      </c>
      <c r="H917" t="s">
        <v>2422</v>
      </c>
      <c r="I917" s="2">
        <v>154.30000000000001</v>
      </c>
      <c r="J917" s="2">
        <v>97.5</v>
      </c>
      <c r="K917" s="2">
        <v>56.8</v>
      </c>
      <c r="L917" s="2">
        <v>36.81</v>
      </c>
      <c r="M917" s="2">
        <v>154.30000000000001</v>
      </c>
      <c r="N917" s="2">
        <v>97.5</v>
      </c>
      <c r="O917" s="2">
        <v>47.8</v>
      </c>
      <c r="P917" s="2">
        <v>36.81</v>
      </c>
    </row>
    <row r="918" spans="1:16" x14ac:dyDescent="0.25">
      <c r="A918" t="s">
        <v>15</v>
      </c>
      <c r="B918" t="s">
        <v>1119</v>
      </c>
      <c r="C918" t="s">
        <v>252</v>
      </c>
      <c r="D918" t="s">
        <v>1251</v>
      </c>
      <c r="E918" t="s">
        <v>47</v>
      </c>
      <c r="F918" t="s">
        <v>1252</v>
      </c>
      <c r="G918" s="1">
        <f>45798</f>
        <v>45798</v>
      </c>
      <c r="H918" t="s">
        <v>2422</v>
      </c>
      <c r="I918" s="2">
        <v>1147.0999999999999</v>
      </c>
      <c r="J918" s="2">
        <v>772.65</v>
      </c>
      <c r="K918" s="2">
        <v>374.45</v>
      </c>
      <c r="L918" s="2">
        <v>32.64</v>
      </c>
      <c r="M918" s="2">
        <v>1147.0999999999999</v>
      </c>
      <c r="N918" s="2">
        <v>769.24</v>
      </c>
      <c r="O918" s="2">
        <v>352.91</v>
      </c>
      <c r="P918" s="2">
        <v>32.94</v>
      </c>
    </row>
    <row r="919" spans="1:16" x14ac:dyDescent="0.25">
      <c r="A919" t="s">
        <v>15</v>
      </c>
      <c r="B919" t="s">
        <v>1119</v>
      </c>
      <c r="C919" t="s">
        <v>252</v>
      </c>
      <c r="D919" t="s">
        <v>1253</v>
      </c>
      <c r="E919" t="s">
        <v>47</v>
      </c>
      <c r="F919" t="s">
        <v>269</v>
      </c>
      <c r="G919" s="1">
        <f>45799</f>
        <v>45799</v>
      </c>
      <c r="H919" t="s">
        <v>2422</v>
      </c>
      <c r="I919" s="2">
        <v>1017</v>
      </c>
      <c r="J919" s="2">
        <v>700.94</v>
      </c>
      <c r="K919" s="2">
        <v>316.06</v>
      </c>
      <c r="L919" s="2">
        <v>31.08</v>
      </c>
      <c r="M919" s="2">
        <v>1017</v>
      </c>
      <c r="N919" s="2">
        <v>700.94</v>
      </c>
      <c r="O919" s="2">
        <v>276.06</v>
      </c>
      <c r="P919" s="2">
        <v>31.08</v>
      </c>
    </row>
    <row r="920" spans="1:16" x14ac:dyDescent="0.25">
      <c r="A920" t="s">
        <v>15</v>
      </c>
      <c r="B920" t="s">
        <v>1119</v>
      </c>
      <c r="C920" t="s">
        <v>252</v>
      </c>
      <c r="D920" t="s">
        <v>1254</v>
      </c>
      <c r="E920" t="s">
        <v>47</v>
      </c>
      <c r="F920" t="s">
        <v>276</v>
      </c>
      <c r="G920" s="1">
        <f>45799</f>
        <v>45799</v>
      </c>
      <c r="H920" t="s">
        <v>2422</v>
      </c>
      <c r="I920" s="2">
        <v>1032.3</v>
      </c>
      <c r="J920" s="2">
        <v>696</v>
      </c>
      <c r="K920" s="2">
        <v>336.3</v>
      </c>
      <c r="L920" s="2">
        <v>32.58</v>
      </c>
      <c r="M920" s="2">
        <v>1032.3</v>
      </c>
      <c r="N920" s="2">
        <v>696</v>
      </c>
      <c r="O920" s="2">
        <v>292.3</v>
      </c>
      <c r="P920" s="2">
        <v>32.58</v>
      </c>
    </row>
    <row r="921" spans="1:16" x14ac:dyDescent="0.25">
      <c r="A921" t="s">
        <v>15</v>
      </c>
      <c r="B921" t="s">
        <v>1119</v>
      </c>
      <c r="C921" t="s">
        <v>252</v>
      </c>
      <c r="D921" t="s">
        <v>1255</v>
      </c>
      <c r="E921" t="s">
        <v>47</v>
      </c>
      <c r="F921" t="s">
        <v>856</v>
      </c>
      <c r="G921" s="1">
        <f>45800</f>
        <v>45800</v>
      </c>
      <c r="H921" t="s">
        <v>2422</v>
      </c>
      <c r="I921" s="2">
        <v>4410.25</v>
      </c>
      <c r="J921" s="2">
        <v>2914.54</v>
      </c>
      <c r="K921" s="2">
        <v>1495.71</v>
      </c>
      <c r="L921" s="2">
        <v>33.909999999999997</v>
      </c>
      <c r="M921" s="2">
        <v>4410.25</v>
      </c>
      <c r="N921" s="2">
        <v>2914.54</v>
      </c>
      <c r="O921" s="2">
        <v>1495.71</v>
      </c>
      <c r="P921" s="2">
        <v>33.909999999999997</v>
      </c>
    </row>
    <row r="922" spans="1:16" x14ac:dyDescent="0.25">
      <c r="A922" t="s">
        <v>15</v>
      </c>
      <c r="B922" t="s">
        <v>1119</v>
      </c>
      <c r="C922" t="s">
        <v>252</v>
      </c>
      <c r="D922" t="s">
        <v>1256</v>
      </c>
      <c r="E922" t="s">
        <v>47</v>
      </c>
      <c r="F922" t="s">
        <v>279</v>
      </c>
      <c r="G922" s="1">
        <f>45803</f>
        <v>45803</v>
      </c>
      <c r="H922" t="s">
        <v>2422</v>
      </c>
      <c r="I922" s="2">
        <v>625.9</v>
      </c>
      <c r="J922" s="2">
        <v>427.75</v>
      </c>
      <c r="K922" s="2">
        <v>198.15</v>
      </c>
      <c r="L922" s="2">
        <v>31.66</v>
      </c>
      <c r="M922" s="2">
        <v>625.9</v>
      </c>
      <c r="N922" s="2">
        <v>427.75</v>
      </c>
      <c r="O922" s="2">
        <v>148.15</v>
      </c>
      <c r="P922" s="2">
        <v>31.66</v>
      </c>
    </row>
    <row r="923" spans="1:16" x14ac:dyDescent="0.25">
      <c r="A923" t="s">
        <v>15</v>
      </c>
      <c r="B923" t="s">
        <v>1119</v>
      </c>
      <c r="C923" t="s">
        <v>252</v>
      </c>
      <c r="D923" t="s">
        <v>1257</v>
      </c>
      <c r="E923" t="s">
        <v>47</v>
      </c>
      <c r="F923" t="s">
        <v>574</v>
      </c>
      <c r="G923" s="1">
        <f>45803</f>
        <v>45803</v>
      </c>
      <c r="H923" t="s">
        <v>2422</v>
      </c>
      <c r="I923" s="2">
        <v>506.8</v>
      </c>
      <c r="J923" s="2">
        <v>338.65</v>
      </c>
      <c r="K923" s="2">
        <v>168.15</v>
      </c>
      <c r="L923" s="2">
        <v>33.18</v>
      </c>
      <c r="M923" s="2">
        <v>506.8</v>
      </c>
      <c r="N923" s="2">
        <v>338.65</v>
      </c>
      <c r="O923" s="2">
        <v>104.15</v>
      </c>
      <c r="P923" s="2">
        <v>33.18</v>
      </c>
    </row>
    <row r="924" spans="1:16" x14ac:dyDescent="0.25">
      <c r="A924" t="s">
        <v>15</v>
      </c>
      <c r="B924" t="s">
        <v>1119</v>
      </c>
      <c r="C924" t="s">
        <v>252</v>
      </c>
      <c r="D924" t="s">
        <v>1258</v>
      </c>
      <c r="E924" t="s">
        <v>19</v>
      </c>
      <c r="F924" t="s">
        <v>1259</v>
      </c>
      <c r="G924" s="1">
        <f>45804</f>
        <v>45804</v>
      </c>
      <c r="H924" t="s">
        <v>2422</v>
      </c>
      <c r="I924" s="2">
        <v>317.22000000000003</v>
      </c>
      <c r="J924" s="2">
        <v>200.54</v>
      </c>
      <c r="K924" s="2">
        <v>116.68</v>
      </c>
      <c r="L924" s="2">
        <v>36.78</v>
      </c>
      <c r="M924" s="2">
        <v>317.22000000000003</v>
      </c>
      <c r="N924" s="2">
        <v>200.54</v>
      </c>
      <c r="O924" s="2">
        <v>47.68</v>
      </c>
      <c r="P924" s="2">
        <v>36.78</v>
      </c>
    </row>
    <row r="925" spans="1:16" x14ac:dyDescent="0.25">
      <c r="A925" t="s">
        <v>15</v>
      </c>
      <c r="B925" t="s">
        <v>1119</v>
      </c>
      <c r="C925" t="s">
        <v>252</v>
      </c>
      <c r="D925" t="s">
        <v>1260</v>
      </c>
      <c r="E925" t="s">
        <v>47</v>
      </c>
      <c r="F925" t="s">
        <v>563</v>
      </c>
      <c r="G925" s="1">
        <f>45805</f>
        <v>45805</v>
      </c>
      <c r="H925" t="s">
        <v>2422</v>
      </c>
      <c r="I925" s="2">
        <v>990.36</v>
      </c>
      <c r="J925" s="2">
        <v>675.99</v>
      </c>
      <c r="K925" s="2">
        <v>314.37</v>
      </c>
      <c r="L925" s="2">
        <v>31.74</v>
      </c>
      <c r="M925" s="2">
        <v>990.36</v>
      </c>
      <c r="N925" s="2">
        <v>675.99</v>
      </c>
      <c r="O925" s="2">
        <v>261.87</v>
      </c>
      <c r="P925" s="2">
        <v>31.74</v>
      </c>
    </row>
    <row r="926" spans="1:16" x14ac:dyDescent="0.25">
      <c r="A926" t="s">
        <v>15</v>
      </c>
      <c r="B926" t="s">
        <v>1119</v>
      </c>
      <c r="C926" t="s">
        <v>252</v>
      </c>
      <c r="D926" t="s">
        <v>1261</v>
      </c>
      <c r="E926" t="s">
        <v>47</v>
      </c>
      <c r="F926" t="s">
        <v>303</v>
      </c>
      <c r="G926" s="1">
        <f>45805</f>
        <v>45805</v>
      </c>
      <c r="H926" t="s">
        <v>2422</v>
      </c>
      <c r="I926" s="2">
        <v>156.19</v>
      </c>
      <c r="J926" s="2">
        <v>102.86</v>
      </c>
      <c r="K926" s="2">
        <v>53.33</v>
      </c>
      <c r="L926" s="2">
        <v>34.14</v>
      </c>
      <c r="M926" s="2">
        <v>156.19</v>
      </c>
      <c r="N926" s="2">
        <v>102.86</v>
      </c>
      <c r="O926" s="2">
        <v>44.33</v>
      </c>
      <c r="P926" s="2">
        <v>34.14</v>
      </c>
    </row>
    <row r="927" spans="1:16" x14ac:dyDescent="0.25">
      <c r="A927" t="s">
        <v>15</v>
      </c>
      <c r="B927" t="s">
        <v>1119</v>
      </c>
      <c r="C927" t="s">
        <v>252</v>
      </c>
      <c r="D927" t="s">
        <v>1262</v>
      </c>
      <c r="E927" t="s">
        <v>47</v>
      </c>
      <c r="F927" t="s">
        <v>269</v>
      </c>
      <c r="G927" s="1">
        <f>45805</f>
        <v>45805</v>
      </c>
      <c r="H927" t="s">
        <v>2422</v>
      </c>
      <c r="I927" s="2">
        <v>604.9</v>
      </c>
      <c r="J927" s="2">
        <v>346.83</v>
      </c>
      <c r="K927" s="2">
        <v>258.07</v>
      </c>
      <c r="L927" s="2">
        <v>42.66</v>
      </c>
      <c r="M927" s="2">
        <v>604.9</v>
      </c>
      <c r="N927" s="2">
        <v>346.83</v>
      </c>
      <c r="O927" s="2">
        <v>221.07</v>
      </c>
      <c r="P927" s="2">
        <v>42.66</v>
      </c>
    </row>
    <row r="928" spans="1:16" x14ac:dyDescent="0.25">
      <c r="A928" t="s">
        <v>15</v>
      </c>
      <c r="B928" t="s">
        <v>1119</v>
      </c>
      <c r="C928" t="s">
        <v>17</v>
      </c>
      <c r="D928" t="s">
        <v>1263</v>
      </c>
      <c r="E928" t="s">
        <v>47</v>
      </c>
      <c r="F928" t="s">
        <v>353</v>
      </c>
      <c r="G928" s="1">
        <f>45805</f>
        <v>45805</v>
      </c>
      <c r="H928" t="s">
        <v>2422</v>
      </c>
      <c r="I928" s="2">
        <v>2352.71</v>
      </c>
      <c r="J928" s="2">
        <v>1563.03</v>
      </c>
      <c r="K928" s="2">
        <v>789.68</v>
      </c>
      <c r="L928" s="2">
        <v>33.56</v>
      </c>
      <c r="M928" s="2">
        <v>2352.71</v>
      </c>
      <c r="N928" s="2">
        <v>1575.07</v>
      </c>
      <c r="O928" s="2">
        <v>508.64</v>
      </c>
      <c r="P928" s="2">
        <v>33.049999999999997</v>
      </c>
    </row>
    <row r="929" spans="1:16" x14ac:dyDescent="0.25">
      <c r="A929" t="s">
        <v>15</v>
      </c>
      <c r="B929" t="s">
        <v>1119</v>
      </c>
      <c r="C929" t="s">
        <v>17</v>
      </c>
      <c r="D929" t="s">
        <v>1264</v>
      </c>
      <c r="E929" t="s">
        <v>47</v>
      </c>
      <c r="F929" t="s">
        <v>322</v>
      </c>
      <c r="G929" s="1">
        <f>45782</f>
        <v>45782</v>
      </c>
      <c r="H929" t="s">
        <v>2422</v>
      </c>
      <c r="I929" s="2">
        <v>495.4</v>
      </c>
      <c r="J929" s="2">
        <v>345.63</v>
      </c>
      <c r="K929" s="2">
        <v>149.77000000000001</v>
      </c>
      <c r="L929" s="2">
        <v>30.23</v>
      </c>
      <c r="M929" s="2">
        <v>495.4</v>
      </c>
      <c r="N929" s="2">
        <v>345.59</v>
      </c>
      <c r="O929" s="2">
        <v>79.81</v>
      </c>
      <c r="P929" s="2">
        <v>30.24</v>
      </c>
    </row>
    <row r="930" spans="1:16" x14ac:dyDescent="0.25">
      <c r="A930" t="s">
        <v>15</v>
      </c>
      <c r="B930" t="s">
        <v>1119</v>
      </c>
      <c r="C930" t="s">
        <v>17</v>
      </c>
      <c r="D930" t="s">
        <v>1265</v>
      </c>
      <c r="E930" t="s">
        <v>47</v>
      </c>
      <c r="F930" t="s">
        <v>649</v>
      </c>
      <c r="G930" s="1">
        <f>45783</f>
        <v>45783</v>
      </c>
      <c r="H930" t="s">
        <v>2422</v>
      </c>
      <c r="I930" s="2">
        <v>309</v>
      </c>
      <c r="J930" s="2">
        <v>159.6</v>
      </c>
      <c r="K930" s="2">
        <v>149.4</v>
      </c>
      <c r="L930" s="2">
        <v>48.35</v>
      </c>
      <c r="M930" s="2">
        <v>309</v>
      </c>
      <c r="N930" s="2">
        <v>159.6</v>
      </c>
      <c r="O930" s="2">
        <v>139.4</v>
      </c>
      <c r="P930" s="2">
        <v>48.35</v>
      </c>
    </row>
    <row r="931" spans="1:16" x14ac:dyDescent="0.25">
      <c r="A931" t="s">
        <v>15</v>
      </c>
      <c r="B931" t="s">
        <v>1119</v>
      </c>
      <c r="C931" t="s">
        <v>17</v>
      </c>
      <c r="D931" t="s">
        <v>1266</v>
      </c>
      <c r="E931" t="s">
        <v>47</v>
      </c>
      <c r="F931" t="s">
        <v>1267</v>
      </c>
      <c r="G931" s="1">
        <f>45783</f>
        <v>45783</v>
      </c>
      <c r="H931" t="s">
        <v>2422</v>
      </c>
      <c r="I931" s="2">
        <v>146.80000000000001</v>
      </c>
      <c r="J931" s="2">
        <v>81.88</v>
      </c>
      <c r="K931" s="2">
        <v>64.92</v>
      </c>
      <c r="L931" s="2">
        <v>44.22</v>
      </c>
      <c r="M931" s="2">
        <v>146.80000000000001</v>
      </c>
      <c r="N931" s="2">
        <v>81.88</v>
      </c>
      <c r="O931" s="2">
        <v>55.92</v>
      </c>
      <c r="P931" s="2">
        <v>44.22</v>
      </c>
    </row>
    <row r="932" spans="1:16" x14ac:dyDescent="0.25">
      <c r="A932" t="s">
        <v>15</v>
      </c>
      <c r="B932" t="s">
        <v>1119</v>
      </c>
      <c r="C932" t="s">
        <v>17</v>
      </c>
      <c r="D932" t="s">
        <v>1268</v>
      </c>
      <c r="E932" t="s">
        <v>47</v>
      </c>
      <c r="F932" t="s">
        <v>363</v>
      </c>
      <c r="G932" s="1">
        <f>45784</f>
        <v>45784</v>
      </c>
      <c r="H932" t="s">
        <v>2422</v>
      </c>
      <c r="I932" s="2">
        <v>595.97</v>
      </c>
      <c r="J932" s="2">
        <v>421.88</v>
      </c>
      <c r="K932" s="2">
        <v>174.09</v>
      </c>
      <c r="L932" s="2">
        <v>29.21</v>
      </c>
      <c r="M932" s="2">
        <v>595.97</v>
      </c>
      <c r="N932" s="2">
        <v>421.88</v>
      </c>
      <c r="O932" s="2">
        <v>157</v>
      </c>
      <c r="P932" s="2">
        <v>29.21</v>
      </c>
    </row>
    <row r="933" spans="1:16" x14ac:dyDescent="0.25">
      <c r="A933" t="s">
        <v>15</v>
      </c>
      <c r="B933" t="s">
        <v>1119</v>
      </c>
      <c r="C933" t="s">
        <v>17</v>
      </c>
      <c r="D933" t="s">
        <v>1269</v>
      </c>
      <c r="E933" t="s">
        <v>47</v>
      </c>
      <c r="F933" t="s">
        <v>1270</v>
      </c>
      <c r="G933" s="1">
        <f>45789</f>
        <v>45789</v>
      </c>
      <c r="H933" t="s">
        <v>2422</v>
      </c>
      <c r="I933" s="2">
        <v>354.8</v>
      </c>
      <c r="J933" s="2">
        <v>235.42</v>
      </c>
      <c r="K933" s="2">
        <v>119.38</v>
      </c>
      <c r="L933" s="2">
        <v>33.65</v>
      </c>
      <c r="M933" s="2">
        <v>354.8</v>
      </c>
      <c r="N933" s="2">
        <v>235.42</v>
      </c>
      <c r="O933" s="2">
        <v>85.38</v>
      </c>
      <c r="P933" s="2">
        <v>33.65</v>
      </c>
    </row>
    <row r="934" spans="1:16" x14ac:dyDescent="0.25">
      <c r="A934" t="s">
        <v>15</v>
      </c>
      <c r="B934" t="s">
        <v>1119</v>
      </c>
      <c r="C934" t="s">
        <v>17</v>
      </c>
      <c r="D934" t="s">
        <v>1271</v>
      </c>
      <c r="E934" t="s">
        <v>47</v>
      </c>
      <c r="F934" t="s">
        <v>873</v>
      </c>
      <c r="G934" s="1">
        <f>45789</f>
        <v>45789</v>
      </c>
      <c r="H934" t="s">
        <v>2422</v>
      </c>
      <c r="I934" s="2">
        <v>1010.4</v>
      </c>
      <c r="J934" s="2">
        <v>754.83</v>
      </c>
      <c r="K934" s="2">
        <v>255.57</v>
      </c>
      <c r="L934" s="2">
        <v>25.29</v>
      </c>
      <c r="M934" s="2">
        <v>1010.4</v>
      </c>
      <c r="N934" s="2">
        <v>754.83</v>
      </c>
      <c r="O934" s="2">
        <v>10.74</v>
      </c>
      <c r="P934" s="2">
        <v>25.29</v>
      </c>
    </row>
    <row r="935" spans="1:16" x14ac:dyDescent="0.25">
      <c r="A935" t="s">
        <v>15</v>
      </c>
      <c r="B935" t="s">
        <v>1119</v>
      </c>
      <c r="C935" t="s">
        <v>17</v>
      </c>
      <c r="D935" t="s">
        <v>1272</v>
      </c>
      <c r="E935" t="s">
        <v>47</v>
      </c>
      <c r="F935" t="s">
        <v>366</v>
      </c>
      <c r="G935" s="1">
        <f>45790</f>
        <v>45790</v>
      </c>
      <c r="H935" t="s">
        <v>2422</v>
      </c>
      <c r="I935" s="2">
        <v>574.20000000000005</v>
      </c>
      <c r="J935" s="2">
        <v>362</v>
      </c>
      <c r="K935" s="2">
        <v>212.2</v>
      </c>
      <c r="L935" s="2">
        <v>36.96</v>
      </c>
      <c r="M935" s="2">
        <v>574.20000000000005</v>
      </c>
      <c r="N935" s="2">
        <v>362</v>
      </c>
      <c r="O935" s="2">
        <v>179.2</v>
      </c>
      <c r="P935" s="2">
        <v>36.96</v>
      </c>
    </row>
    <row r="936" spans="1:16" x14ac:dyDescent="0.25">
      <c r="A936" t="s">
        <v>15</v>
      </c>
      <c r="B936" t="s">
        <v>1119</v>
      </c>
      <c r="C936" t="s">
        <v>17</v>
      </c>
      <c r="D936" t="s">
        <v>1273</v>
      </c>
      <c r="E936" t="s">
        <v>47</v>
      </c>
      <c r="F936" t="s">
        <v>613</v>
      </c>
      <c r="G936" s="1">
        <f>45790</f>
        <v>45790</v>
      </c>
      <c r="H936" t="s">
        <v>2422</v>
      </c>
      <c r="I936" s="2">
        <v>12486</v>
      </c>
      <c r="J936" s="2">
        <v>8396.08</v>
      </c>
      <c r="K936" s="2">
        <v>4089.92</v>
      </c>
      <c r="L936" s="2">
        <v>32.76</v>
      </c>
      <c r="M936" s="2">
        <v>12486</v>
      </c>
      <c r="N936" s="2">
        <v>8396.08</v>
      </c>
      <c r="O936" s="2">
        <v>3985.84</v>
      </c>
      <c r="P936" s="2">
        <v>32.76</v>
      </c>
    </row>
    <row r="937" spans="1:16" x14ac:dyDescent="0.25">
      <c r="A937" t="s">
        <v>15</v>
      </c>
      <c r="B937" t="s">
        <v>1119</v>
      </c>
      <c r="C937" t="s">
        <v>17</v>
      </c>
      <c r="D937" t="s">
        <v>1274</v>
      </c>
      <c r="E937" t="s">
        <v>47</v>
      </c>
      <c r="F937" t="s">
        <v>617</v>
      </c>
      <c r="G937" s="1">
        <f>45790</f>
        <v>45790</v>
      </c>
      <c r="H937" t="s">
        <v>2422</v>
      </c>
      <c r="I937" s="2">
        <v>231.7</v>
      </c>
      <c r="J937" s="2">
        <v>138.16999999999999</v>
      </c>
      <c r="K937" s="2">
        <v>93.53</v>
      </c>
      <c r="L937" s="2">
        <v>40.369999999999997</v>
      </c>
      <c r="M937" s="2">
        <v>231.7</v>
      </c>
      <c r="N937" s="2">
        <v>138.16999999999999</v>
      </c>
      <c r="O937" s="2">
        <v>93.53</v>
      </c>
      <c r="P937" s="2">
        <v>40.369999999999997</v>
      </c>
    </row>
    <row r="938" spans="1:16" x14ac:dyDescent="0.25">
      <c r="A938" t="s">
        <v>15</v>
      </c>
      <c r="B938" t="s">
        <v>1119</v>
      </c>
      <c r="C938" t="s">
        <v>17</v>
      </c>
      <c r="D938" t="s">
        <v>1275</v>
      </c>
      <c r="E938" t="s">
        <v>47</v>
      </c>
      <c r="F938" t="s">
        <v>311</v>
      </c>
      <c r="G938" s="1">
        <f>45791</f>
        <v>45791</v>
      </c>
      <c r="H938" t="s">
        <v>2422</v>
      </c>
      <c r="I938" s="2">
        <v>329.89</v>
      </c>
      <c r="J938" s="2">
        <v>209.22</v>
      </c>
      <c r="K938" s="2">
        <v>120.67</v>
      </c>
      <c r="L938" s="2">
        <v>36.58</v>
      </c>
      <c r="M938" s="2">
        <v>329.89</v>
      </c>
      <c r="N938" s="2">
        <v>209.22</v>
      </c>
      <c r="O938" s="2">
        <v>104.67</v>
      </c>
      <c r="P938" s="2">
        <v>36.58</v>
      </c>
    </row>
    <row r="939" spans="1:16" x14ac:dyDescent="0.25">
      <c r="A939" t="s">
        <v>15</v>
      </c>
      <c r="B939" t="s">
        <v>1119</v>
      </c>
      <c r="C939" t="s">
        <v>17</v>
      </c>
      <c r="D939" t="s">
        <v>1276</v>
      </c>
      <c r="E939" t="s">
        <v>47</v>
      </c>
      <c r="F939" t="s">
        <v>326</v>
      </c>
      <c r="G939" s="1">
        <f>45792</f>
        <v>45792</v>
      </c>
      <c r="H939" t="s">
        <v>2422</v>
      </c>
      <c r="I939" s="2">
        <v>724.4</v>
      </c>
      <c r="J939" s="2">
        <v>500.35</v>
      </c>
      <c r="K939" s="2">
        <v>224.05</v>
      </c>
      <c r="L939" s="2">
        <v>30.93</v>
      </c>
      <c r="M939" s="2">
        <v>724.4</v>
      </c>
      <c r="N939" s="2">
        <v>500.4</v>
      </c>
      <c r="O939" s="2">
        <v>205.37</v>
      </c>
      <c r="P939" s="2">
        <v>30.92</v>
      </c>
    </row>
    <row r="940" spans="1:16" x14ac:dyDescent="0.25">
      <c r="A940" t="s">
        <v>15</v>
      </c>
      <c r="B940" t="s">
        <v>1119</v>
      </c>
      <c r="C940" t="s">
        <v>17</v>
      </c>
      <c r="D940" t="s">
        <v>1277</v>
      </c>
      <c r="E940" t="s">
        <v>47</v>
      </c>
      <c r="F940" t="s">
        <v>311</v>
      </c>
      <c r="G940" s="1">
        <f>45792</f>
        <v>45792</v>
      </c>
      <c r="H940" t="s">
        <v>2422</v>
      </c>
      <c r="I940" s="2">
        <v>378.63</v>
      </c>
      <c r="J940" s="2">
        <v>236.51</v>
      </c>
      <c r="K940" s="2">
        <v>142.12</v>
      </c>
      <c r="L940" s="2">
        <v>37.54</v>
      </c>
      <c r="M940" s="2">
        <v>378.63</v>
      </c>
      <c r="N940" s="2">
        <v>236.51</v>
      </c>
      <c r="O940" s="2">
        <v>133.12</v>
      </c>
      <c r="P940" s="2">
        <v>37.54</v>
      </c>
    </row>
    <row r="941" spans="1:16" x14ac:dyDescent="0.25">
      <c r="A941" t="s">
        <v>15</v>
      </c>
      <c r="B941" t="s">
        <v>1119</v>
      </c>
      <c r="C941" t="s">
        <v>17</v>
      </c>
      <c r="D941" t="s">
        <v>1278</v>
      </c>
      <c r="E941" t="s">
        <v>47</v>
      </c>
      <c r="F941" t="s">
        <v>1279</v>
      </c>
      <c r="G941" s="1">
        <f>45792</f>
        <v>45792</v>
      </c>
      <c r="H941" t="s">
        <v>2422</v>
      </c>
      <c r="I941" s="2">
        <v>359</v>
      </c>
      <c r="J941" s="2">
        <v>211</v>
      </c>
      <c r="K941" s="2">
        <v>148</v>
      </c>
      <c r="L941" s="2">
        <v>41.23</v>
      </c>
      <c r="M941" s="2">
        <v>359</v>
      </c>
      <c r="N941" s="2">
        <v>211</v>
      </c>
      <c r="O941" s="2">
        <v>123</v>
      </c>
      <c r="P941" s="2">
        <v>41.23</v>
      </c>
    </row>
    <row r="942" spans="1:16" x14ac:dyDescent="0.25">
      <c r="A942" t="s">
        <v>15</v>
      </c>
      <c r="B942" t="s">
        <v>1119</v>
      </c>
      <c r="C942" t="s">
        <v>17</v>
      </c>
      <c r="D942" t="s">
        <v>1280</v>
      </c>
      <c r="E942" t="s">
        <v>47</v>
      </c>
      <c r="F942" t="s">
        <v>617</v>
      </c>
      <c r="G942" s="1">
        <f>45793</f>
        <v>45793</v>
      </c>
      <c r="H942" t="s">
        <v>2422</v>
      </c>
      <c r="I942" s="2">
        <v>538.5</v>
      </c>
      <c r="J942" s="2">
        <v>369.04</v>
      </c>
      <c r="K942" s="2">
        <v>169.46</v>
      </c>
      <c r="L942" s="2">
        <v>31.47</v>
      </c>
      <c r="M942" s="2">
        <v>538.5</v>
      </c>
      <c r="N942" s="2">
        <v>369.04</v>
      </c>
      <c r="O942" s="2">
        <v>159.46</v>
      </c>
      <c r="P942" s="2">
        <v>31.47</v>
      </c>
    </row>
    <row r="943" spans="1:16" x14ac:dyDescent="0.25">
      <c r="A943" t="s">
        <v>15</v>
      </c>
      <c r="B943" t="s">
        <v>1119</v>
      </c>
      <c r="C943" t="s">
        <v>17</v>
      </c>
      <c r="D943" t="s">
        <v>1281</v>
      </c>
      <c r="E943" t="s">
        <v>47</v>
      </c>
      <c r="F943" t="s">
        <v>322</v>
      </c>
      <c r="G943" s="1">
        <f>45797</f>
        <v>45797</v>
      </c>
      <c r="H943" t="s">
        <v>2422</v>
      </c>
      <c r="I943" s="2">
        <v>840</v>
      </c>
      <c r="J943" s="2">
        <v>562</v>
      </c>
      <c r="K943" s="2">
        <v>278</v>
      </c>
      <c r="L943" s="2">
        <v>33.1</v>
      </c>
      <c r="M943" s="2">
        <v>840</v>
      </c>
      <c r="N943" s="2">
        <v>562</v>
      </c>
      <c r="O943" s="2">
        <v>230</v>
      </c>
      <c r="P943" s="2">
        <v>33.1</v>
      </c>
    </row>
    <row r="944" spans="1:16" x14ac:dyDescent="0.25">
      <c r="A944" t="s">
        <v>15</v>
      </c>
      <c r="B944" t="s">
        <v>1119</v>
      </c>
      <c r="C944" t="s">
        <v>17</v>
      </c>
      <c r="D944" t="s">
        <v>1282</v>
      </c>
      <c r="E944" t="s">
        <v>19</v>
      </c>
      <c r="F944" t="s">
        <v>1283</v>
      </c>
      <c r="G944" s="1">
        <f>45798</f>
        <v>45798</v>
      </c>
      <c r="H944" t="s">
        <v>56</v>
      </c>
      <c r="I944" s="2">
        <v>1246.7</v>
      </c>
      <c r="J944" s="2">
        <v>863.04</v>
      </c>
      <c r="K944" s="2">
        <v>383.66</v>
      </c>
      <c r="L944" s="2">
        <v>30.77</v>
      </c>
      <c r="M944" s="2">
        <v>1246.7</v>
      </c>
      <c r="N944" s="2">
        <v>863.04</v>
      </c>
      <c r="O944" s="2">
        <v>333.66</v>
      </c>
      <c r="P944" s="2">
        <v>30.77</v>
      </c>
    </row>
    <row r="945" spans="1:16" x14ac:dyDescent="0.25">
      <c r="A945" t="s">
        <v>15</v>
      </c>
      <c r="B945" t="s">
        <v>1119</v>
      </c>
      <c r="C945" t="s">
        <v>17</v>
      </c>
      <c r="D945" t="s">
        <v>1284</v>
      </c>
      <c r="E945" t="s">
        <v>47</v>
      </c>
      <c r="F945" t="s">
        <v>372</v>
      </c>
      <c r="G945" s="1">
        <f>45798</f>
        <v>45798</v>
      </c>
      <c r="H945" t="s">
        <v>2422</v>
      </c>
      <c r="I945" s="2">
        <v>151.91999999999999</v>
      </c>
      <c r="J945" s="2">
        <v>99.88</v>
      </c>
      <c r="K945" s="2">
        <v>52.04</v>
      </c>
      <c r="L945" s="2">
        <v>34.25</v>
      </c>
      <c r="M945" s="2">
        <v>151.91999999999999</v>
      </c>
      <c r="N945" s="2">
        <v>99.86</v>
      </c>
      <c r="O945" s="2">
        <v>41.28</v>
      </c>
      <c r="P945" s="2">
        <v>34.270000000000003</v>
      </c>
    </row>
    <row r="946" spans="1:16" x14ac:dyDescent="0.25">
      <c r="A946" t="s">
        <v>15</v>
      </c>
      <c r="B946" t="s">
        <v>1119</v>
      </c>
      <c r="C946" t="s">
        <v>17</v>
      </c>
      <c r="D946" t="s">
        <v>1285</v>
      </c>
      <c r="E946" t="s">
        <v>47</v>
      </c>
      <c r="F946" t="s">
        <v>348</v>
      </c>
      <c r="G946" s="1">
        <f>45798</f>
        <v>45798</v>
      </c>
      <c r="H946" t="s">
        <v>2422</v>
      </c>
      <c r="I946" s="2">
        <v>177.2</v>
      </c>
      <c r="J946" s="2">
        <v>72.400000000000006</v>
      </c>
      <c r="K946" s="2">
        <v>104.8</v>
      </c>
      <c r="L946" s="2">
        <v>59.14</v>
      </c>
      <c r="M946" s="2">
        <v>177.2</v>
      </c>
      <c r="N946" s="2">
        <v>72.400000000000006</v>
      </c>
      <c r="O946" s="2">
        <v>79.8</v>
      </c>
      <c r="P946" s="2">
        <v>59.14</v>
      </c>
    </row>
    <row r="947" spans="1:16" x14ac:dyDescent="0.25">
      <c r="A947" t="s">
        <v>15</v>
      </c>
      <c r="B947" t="s">
        <v>1119</v>
      </c>
      <c r="C947" t="s">
        <v>17</v>
      </c>
      <c r="D947" t="s">
        <v>1286</v>
      </c>
      <c r="E947" t="s">
        <v>47</v>
      </c>
      <c r="F947" t="s">
        <v>348</v>
      </c>
      <c r="G947" s="1">
        <f>45798</f>
        <v>45798</v>
      </c>
      <c r="H947" t="s">
        <v>2422</v>
      </c>
      <c r="I947" s="2">
        <v>1179.26</v>
      </c>
      <c r="J947" s="2">
        <v>456.42</v>
      </c>
      <c r="K947" s="2">
        <v>722.84</v>
      </c>
      <c r="L947" s="2">
        <v>61.3</v>
      </c>
      <c r="M947" s="2">
        <v>1179.26</v>
      </c>
      <c r="N947" s="2">
        <v>456.42</v>
      </c>
      <c r="O947" s="2">
        <v>627.84</v>
      </c>
      <c r="P947" s="2">
        <v>61.3</v>
      </c>
    </row>
    <row r="948" spans="1:16" x14ac:dyDescent="0.25">
      <c r="A948" t="s">
        <v>15</v>
      </c>
      <c r="B948" t="s">
        <v>1119</v>
      </c>
      <c r="C948" t="s">
        <v>17</v>
      </c>
      <c r="D948" t="s">
        <v>1287</v>
      </c>
      <c r="E948" t="s">
        <v>47</v>
      </c>
      <c r="F948" t="s">
        <v>337</v>
      </c>
      <c r="G948" s="1">
        <f>45799</f>
        <v>45799</v>
      </c>
      <c r="H948" t="s">
        <v>2422</v>
      </c>
      <c r="I948" s="2">
        <v>591.12</v>
      </c>
      <c r="J948" s="2">
        <v>396</v>
      </c>
      <c r="K948" s="2">
        <v>195.12</v>
      </c>
      <c r="L948" s="2">
        <v>33.01</v>
      </c>
      <c r="M948" s="2">
        <v>591.12</v>
      </c>
      <c r="N948" s="2">
        <v>396</v>
      </c>
      <c r="O948" s="2">
        <v>151.12</v>
      </c>
      <c r="P948" s="2">
        <v>33.01</v>
      </c>
    </row>
    <row r="949" spans="1:16" x14ac:dyDescent="0.25">
      <c r="A949" t="s">
        <v>15</v>
      </c>
      <c r="B949" t="s">
        <v>1119</v>
      </c>
      <c r="C949" t="s">
        <v>17</v>
      </c>
      <c r="D949" t="s">
        <v>1288</v>
      </c>
      <c r="E949" t="s">
        <v>47</v>
      </c>
      <c r="F949" t="s">
        <v>320</v>
      </c>
      <c r="G949" s="1">
        <f>45800</f>
        <v>45800</v>
      </c>
      <c r="H949" t="s">
        <v>2422</v>
      </c>
      <c r="I949" s="2">
        <v>2203.1999999999998</v>
      </c>
      <c r="J949" s="2">
        <v>1492.12</v>
      </c>
      <c r="K949" s="2">
        <v>711.08</v>
      </c>
      <c r="L949" s="2">
        <v>32.270000000000003</v>
      </c>
      <c r="M949" s="2">
        <v>2203.1999999999998</v>
      </c>
      <c r="N949" s="2">
        <v>1492.12</v>
      </c>
      <c r="O949" s="2">
        <v>702.08</v>
      </c>
      <c r="P949" s="2">
        <v>32.270000000000003</v>
      </c>
    </row>
    <row r="950" spans="1:16" x14ac:dyDescent="0.25">
      <c r="A950" t="s">
        <v>15</v>
      </c>
      <c r="B950" t="s">
        <v>1119</v>
      </c>
      <c r="C950" t="s">
        <v>17</v>
      </c>
      <c r="D950" t="s">
        <v>1289</v>
      </c>
      <c r="E950" t="s">
        <v>47</v>
      </c>
      <c r="F950" t="s">
        <v>363</v>
      </c>
      <c r="G950" s="1">
        <f>45803</f>
        <v>45803</v>
      </c>
      <c r="H950" t="s">
        <v>2422</v>
      </c>
      <c r="I950" s="2">
        <v>159.88999999999999</v>
      </c>
      <c r="J950" s="2">
        <v>112.38</v>
      </c>
      <c r="K950" s="2">
        <v>47.52</v>
      </c>
      <c r="L950" s="2">
        <v>29.72</v>
      </c>
      <c r="M950" s="2">
        <v>159.88999999999999</v>
      </c>
      <c r="N950" s="2">
        <v>114.45</v>
      </c>
      <c r="O950" s="2">
        <v>34.409999999999997</v>
      </c>
      <c r="P950" s="2">
        <v>28.42</v>
      </c>
    </row>
    <row r="951" spans="1:16" x14ac:dyDescent="0.25">
      <c r="A951" t="s">
        <v>15</v>
      </c>
      <c r="B951" t="s">
        <v>1119</v>
      </c>
      <c r="C951" t="s">
        <v>17</v>
      </c>
      <c r="D951" t="s">
        <v>1290</v>
      </c>
      <c r="E951" t="s">
        <v>47</v>
      </c>
      <c r="F951" t="s">
        <v>313</v>
      </c>
      <c r="G951" s="1">
        <f>45803</f>
        <v>45803</v>
      </c>
      <c r="H951" t="s">
        <v>2422</v>
      </c>
      <c r="I951" s="2">
        <v>6365.77</v>
      </c>
      <c r="J951" s="2">
        <v>4380.3500000000004</v>
      </c>
      <c r="K951" s="2">
        <v>1985.42</v>
      </c>
      <c r="L951" s="2">
        <v>31.19</v>
      </c>
      <c r="M951" s="2">
        <v>6365.77</v>
      </c>
      <c r="N951" s="2">
        <v>4383.3500000000004</v>
      </c>
      <c r="O951" s="2">
        <v>1769.42</v>
      </c>
      <c r="P951" s="2">
        <v>31.14</v>
      </c>
    </row>
    <row r="952" spans="1:16" x14ac:dyDescent="0.25">
      <c r="A952" t="s">
        <v>15</v>
      </c>
      <c r="B952" t="s">
        <v>1119</v>
      </c>
      <c r="C952" t="s">
        <v>17</v>
      </c>
      <c r="D952" t="s">
        <v>1291</v>
      </c>
      <c r="E952" t="s">
        <v>47</v>
      </c>
      <c r="F952" t="s">
        <v>361</v>
      </c>
      <c r="G952" s="1">
        <f>45804</f>
        <v>45804</v>
      </c>
      <c r="H952" t="s">
        <v>2422</v>
      </c>
      <c r="I952" s="2">
        <v>1302.4000000000001</v>
      </c>
      <c r="J952" s="2">
        <v>928.74</v>
      </c>
      <c r="K952" s="2">
        <v>373.66</v>
      </c>
      <c r="L952" s="2">
        <v>28.69</v>
      </c>
      <c r="M952" s="2">
        <v>1302.4000000000001</v>
      </c>
      <c r="N952" s="2">
        <v>928.74</v>
      </c>
      <c r="O952" s="2">
        <v>364.66</v>
      </c>
      <c r="P952" s="2">
        <v>28.69</v>
      </c>
    </row>
    <row r="953" spans="1:16" x14ac:dyDescent="0.25">
      <c r="A953" t="s">
        <v>15</v>
      </c>
      <c r="B953" t="s">
        <v>1119</v>
      </c>
      <c r="C953" t="s">
        <v>17</v>
      </c>
      <c r="D953" t="s">
        <v>1292</v>
      </c>
      <c r="E953" t="s">
        <v>47</v>
      </c>
      <c r="F953" t="s">
        <v>328</v>
      </c>
      <c r="G953" s="1">
        <f>45805</f>
        <v>45805</v>
      </c>
      <c r="H953" t="s">
        <v>2422</v>
      </c>
      <c r="I953" s="2">
        <v>2712</v>
      </c>
      <c r="J953" s="2">
        <v>1910</v>
      </c>
      <c r="K953" s="2">
        <v>802</v>
      </c>
      <c r="L953" s="2">
        <v>29.57</v>
      </c>
      <c r="M953" s="2">
        <v>2712</v>
      </c>
      <c r="N953" s="2">
        <v>1910</v>
      </c>
      <c r="O953" s="2">
        <v>643</v>
      </c>
      <c r="P953" s="2">
        <v>29.57</v>
      </c>
    </row>
    <row r="954" spans="1:16" x14ac:dyDescent="0.25">
      <c r="A954" t="s">
        <v>15</v>
      </c>
      <c r="B954" t="s">
        <v>1293</v>
      </c>
      <c r="C954" t="s">
        <v>17</v>
      </c>
      <c r="D954" t="s">
        <v>1294</v>
      </c>
      <c r="E954" t="s">
        <v>47</v>
      </c>
      <c r="F954" t="s">
        <v>37</v>
      </c>
      <c r="G954" s="1">
        <f>45824</f>
        <v>45824</v>
      </c>
      <c r="H954" t="s">
        <v>2422</v>
      </c>
      <c r="I954" s="2">
        <v>716.04</v>
      </c>
      <c r="J954" s="2">
        <v>452.88</v>
      </c>
      <c r="K954" s="2">
        <v>263.16000000000003</v>
      </c>
      <c r="L954" s="2">
        <v>36.75</v>
      </c>
      <c r="M954" s="2">
        <v>716.04</v>
      </c>
      <c r="N954" s="2">
        <v>452.88</v>
      </c>
      <c r="O954" s="2">
        <v>200.18</v>
      </c>
      <c r="P954" s="2">
        <v>36.75</v>
      </c>
    </row>
    <row r="955" spans="1:16" x14ac:dyDescent="0.25">
      <c r="A955" t="s">
        <v>15</v>
      </c>
      <c r="B955" t="s">
        <v>1293</v>
      </c>
      <c r="C955" t="s">
        <v>17</v>
      </c>
      <c r="D955" t="s">
        <v>1295</v>
      </c>
      <c r="E955" t="s">
        <v>47</v>
      </c>
      <c r="F955" t="s">
        <v>390</v>
      </c>
      <c r="G955" s="1">
        <f>45825</f>
        <v>45825</v>
      </c>
      <c r="H955" t="s">
        <v>2422</v>
      </c>
      <c r="I955" s="2">
        <v>505.8</v>
      </c>
      <c r="J955" s="2">
        <v>339.98</v>
      </c>
      <c r="K955" s="2">
        <v>165.82</v>
      </c>
      <c r="L955" s="2">
        <v>32.78</v>
      </c>
      <c r="M955" s="2">
        <v>505.8</v>
      </c>
      <c r="N955" s="2">
        <v>339.98</v>
      </c>
      <c r="O955" s="2">
        <v>137.82</v>
      </c>
      <c r="P955" s="2">
        <v>32.78</v>
      </c>
    </row>
    <row r="956" spans="1:16" x14ac:dyDescent="0.25">
      <c r="A956" t="s">
        <v>15</v>
      </c>
      <c r="B956" t="s">
        <v>1293</v>
      </c>
      <c r="C956" t="s">
        <v>42</v>
      </c>
      <c r="D956" t="s">
        <v>1296</v>
      </c>
      <c r="E956" t="s">
        <v>47</v>
      </c>
      <c r="F956" t="s">
        <v>1297</v>
      </c>
      <c r="G956" s="1">
        <f>45813</f>
        <v>45813</v>
      </c>
      <c r="H956" t="s">
        <v>2422</v>
      </c>
      <c r="I956" s="2">
        <v>0</v>
      </c>
      <c r="J956" s="2">
        <v>0</v>
      </c>
      <c r="K956" s="2">
        <v>0</v>
      </c>
      <c r="L956" s="2">
        <v>0</v>
      </c>
      <c r="M956" s="2">
        <v>3678.12</v>
      </c>
      <c r="N956" s="2">
        <v>3098.85</v>
      </c>
      <c r="O956" s="2">
        <v>579.27</v>
      </c>
      <c r="P956" s="2">
        <v>15.75</v>
      </c>
    </row>
    <row r="957" spans="1:16" x14ac:dyDescent="0.25">
      <c r="A957" t="s">
        <v>15</v>
      </c>
      <c r="B957" t="s">
        <v>1293</v>
      </c>
      <c r="C957" t="s">
        <v>42</v>
      </c>
      <c r="D957" t="s">
        <v>1298</v>
      </c>
      <c r="E957" t="s">
        <v>47</v>
      </c>
      <c r="F957" t="s">
        <v>44</v>
      </c>
      <c r="G957" s="1">
        <f>45831</f>
        <v>45831</v>
      </c>
      <c r="H957" t="s">
        <v>2422</v>
      </c>
      <c r="I957" s="2">
        <v>665.2</v>
      </c>
      <c r="J957" s="2">
        <v>374.4</v>
      </c>
      <c r="K957" s="2">
        <v>290.8</v>
      </c>
      <c r="L957" s="2">
        <v>43.72</v>
      </c>
      <c r="M957" s="2">
        <v>665.2</v>
      </c>
      <c r="N957" s="2">
        <v>412.6</v>
      </c>
      <c r="O957" s="2">
        <v>243.6</v>
      </c>
      <c r="P957" s="2">
        <v>37.97</v>
      </c>
    </row>
    <row r="958" spans="1:16" x14ac:dyDescent="0.25">
      <c r="A958" t="s">
        <v>15</v>
      </c>
      <c r="B958" t="s">
        <v>1293</v>
      </c>
      <c r="C958" t="s">
        <v>42</v>
      </c>
      <c r="D958" t="s">
        <v>1299</v>
      </c>
      <c r="E958" t="s">
        <v>47</v>
      </c>
      <c r="F958" t="s">
        <v>44</v>
      </c>
      <c r="G958" s="1">
        <f>45835</f>
        <v>45835</v>
      </c>
      <c r="H958" t="s">
        <v>2422</v>
      </c>
      <c r="I958" s="2">
        <v>321.3</v>
      </c>
      <c r="J958" s="2">
        <v>181.25</v>
      </c>
      <c r="K958" s="2">
        <v>140.05000000000001</v>
      </c>
      <c r="L958" s="2">
        <v>43.59</v>
      </c>
      <c r="M958" s="2">
        <v>321.3</v>
      </c>
      <c r="N958" s="2">
        <v>152.80000000000001</v>
      </c>
      <c r="O958" s="2">
        <v>159.5</v>
      </c>
      <c r="P958" s="2">
        <v>52.44</v>
      </c>
    </row>
    <row r="959" spans="1:16" x14ac:dyDescent="0.25">
      <c r="A959" t="s">
        <v>15</v>
      </c>
      <c r="B959" t="s">
        <v>1293</v>
      </c>
      <c r="C959" t="s">
        <v>42</v>
      </c>
      <c r="D959" t="s">
        <v>1300</v>
      </c>
      <c r="E959" t="s">
        <v>47</v>
      </c>
      <c r="F959" t="s">
        <v>44</v>
      </c>
      <c r="G959" s="1">
        <f>45831</f>
        <v>45831</v>
      </c>
      <c r="H959" t="s">
        <v>2422</v>
      </c>
      <c r="I959" s="2">
        <v>312</v>
      </c>
      <c r="J959" s="2">
        <v>170.4</v>
      </c>
      <c r="K959" s="2">
        <v>141.6</v>
      </c>
      <c r="L959" s="2">
        <v>45.38</v>
      </c>
      <c r="M959" s="2">
        <v>312</v>
      </c>
      <c r="N959" s="2">
        <v>170.4</v>
      </c>
      <c r="O959" s="2">
        <v>132.6</v>
      </c>
      <c r="P959" s="2">
        <v>45.38</v>
      </c>
    </row>
    <row r="960" spans="1:16" x14ac:dyDescent="0.25">
      <c r="A960" t="s">
        <v>15</v>
      </c>
      <c r="B960" t="s">
        <v>1293</v>
      </c>
      <c r="C960" t="s">
        <v>42</v>
      </c>
      <c r="D960" t="s">
        <v>1301</v>
      </c>
      <c r="E960" t="s">
        <v>47</v>
      </c>
      <c r="F960" t="s">
        <v>1302</v>
      </c>
      <c r="G960" s="1">
        <f>45833</f>
        <v>45833</v>
      </c>
      <c r="H960" t="s">
        <v>2422</v>
      </c>
      <c r="I960" s="2">
        <v>900</v>
      </c>
      <c r="J960" s="2">
        <v>540</v>
      </c>
      <c r="K960" s="2">
        <v>360</v>
      </c>
      <c r="L960" s="2">
        <v>40</v>
      </c>
      <c r="M960" s="2">
        <v>900</v>
      </c>
      <c r="N960" s="2">
        <v>540</v>
      </c>
      <c r="O960" s="2">
        <v>360</v>
      </c>
      <c r="P960" s="2">
        <v>40</v>
      </c>
    </row>
    <row r="961" spans="1:16" x14ac:dyDescent="0.25">
      <c r="A961" t="s">
        <v>15</v>
      </c>
      <c r="B961" t="s">
        <v>1293</v>
      </c>
      <c r="C961" t="s">
        <v>17</v>
      </c>
      <c r="D961" t="s">
        <v>1303</v>
      </c>
      <c r="E961" t="s">
        <v>19</v>
      </c>
      <c r="F961" t="s">
        <v>497</v>
      </c>
      <c r="G961" s="1">
        <f>45818</f>
        <v>45818</v>
      </c>
      <c r="H961" t="s">
        <v>51</v>
      </c>
      <c r="I961" s="2">
        <v>2090.6</v>
      </c>
      <c r="J961" s="2">
        <v>995.4</v>
      </c>
      <c r="K961" s="2">
        <v>1095.2</v>
      </c>
      <c r="L961" s="2">
        <v>52.39</v>
      </c>
      <c r="M961" s="2">
        <v>2090.6</v>
      </c>
      <c r="N961" s="2">
        <v>995.4</v>
      </c>
      <c r="O961" s="2">
        <v>1046.2</v>
      </c>
      <c r="P961" s="2">
        <v>52.39</v>
      </c>
    </row>
    <row r="962" spans="1:16" x14ac:dyDescent="0.25">
      <c r="A962" t="s">
        <v>15</v>
      </c>
      <c r="B962" t="s">
        <v>1293</v>
      </c>
      <c r="C962" t="s">
        <v>17</v>
      </c>
      <c r="D962" t="s">
        <v>1304</v>
      </c>
      <c r="E962" t="s">
        <v>19</v>
      </c>
      <c r="F962" t="s">
        <v>1305</v>
      </c>
      <c r="G962" s="1">
        <f>45818</f>
        <v>45818</v>
      </c>
      <c r="H962" t="s">
        <v>51</v>
      </c>
      <c r="I962" s="2">
        <v>826.3</v>
      </c>
      <c r="J962" s="2">
        <v>469.8</v>
      </c>
      <c r="K962" s="2">
        <v>356.5</v>
      </c>
      <c r="L962" s="2">
        <v>43.14</v>
      </c>
      <c r="M962" s="2">
        <v>826.3</v>
      </c>
      <c r="N962" s="2">
        <v>469.8</v>
      </c>
      <c r="O962" s="2">
        <v>326.5</v>
      </c>
      <c r="P962" s="2">
        <v>43.14</v>
      </c>
    </row>
    <row r="963" spans="1:16" x14ac:dyDescent="0.25">
      <c r="A963" t="s">
        <v>15</v>
      </c>
      <c r="B963" t="s">
        <v>1293</v>
      </c>
      <c r="C963" t="s">
        <v>17</v>
      </c>
      <c r="D963" t="s">
        <v>1306</v>
      </c>
      <c r="E963" t="s">
        <v>19</v>
      </c>
      <c r="F963" t="s">
        <v>176</v>
      </c>
      <c r="G963" s="1">
        <f>45821</f>
        <v>45821</v>
      </c>
      <c r="H963" t="s">
        <v>51</v>
      </c>
      <c r="I963" s="2">
        <v>448.6</v>
      </c>
      <c r="J963" s="2">
        <v>307.51</v>
      </c>
      <c r="K963" s="2">
        <v>141.09</v>
      </c>
      <c r="L963" s="2">
        <v>31.45</v>
      </c>
      <c r="M963" s="2">
        <v>448.6</v>
      </c>
      <c r="N963" s="2">
        <v>307.49</v>
      </c>
      <c r="O963" s="2">
        <v>126.26</v>
      </c>
      <c r="P963" s="2">
        <v>31.46</v>
      </c>
    </row>
    <row r="964" spans="1:16" x14ac:dyDescent="0.25">
      <c r="A964" t="s">
        <v>15</v>
      </c>
      <c r="B964" t="s">
        <v>1293</v>
      </c>
      <c r="C964" t="s">
        <v>17</v>
      </c>
      <c r="D964" t="s">
        <v>1307</v>
      </c>
      <c r="E964" t="s">
        <v>19</v>
      </c>
      <c r="F964" t="s">
        <v>497</v>
      </c>
      <c r="G964" s="1">
        <f>45824</f>
        <v>45824</v>
      </c>
      <c r="H964" t="s">
        <v>51</v>
      </c>
      <c r="I964" s="2">
        <v>755</v>
      </c>
      <c r="J964" s="2">
        <v>477.13</v>
      </c>
      <c r="K964" s="2">
        <v>277.87</v>
      </c>
      <c r="L964" s="2">
        <v>36.799999999999997</v>
      </c>
      <c r="M964" s="2">
        <v>755</v>
      </c>
      <c r="N964" s="2">
        <v>477.13</v>
      </c>
      <c r="O964" s="2">
        <v>223.87</v>
      </c>
      <c r="P964" s="2">
        <v>36.799999999999997</v>
      </c>
    </row>
    <row r="965" spans="1:16" x14ac:dyDescent="0.25">
      <c r="A965" t="s">
        <v>15</v>
      </c>
      <c r="B965" t="s">
        <v>1293</v>
      </c>
      <c r="C965" t="s">
        <v>17</v>
      </c>
      <c r="D965" t="s">
        <v>1308</v>
      </c>
      <c r="E965" t="s">
        <v>19</v>
      </c>
      <c r="F965" t="s">
        <v>404</v>
      </c>
      <c r="G965" s="1">
        <f>45824</f>
        <v>45824</v>
      </c>
      <c r="H965" t="s">
        <v>51</v>
      </c>
      <c r="I965" s="2">
        <v>538</v>
      </c>
      <c r="J965" s="2">
        <v>359.15</v>
      </c>
      <c r="K965" s="2">
        <v>178.85</v>
      </c>
      <c r="L965" s="2">
        <v>33.24</v>
      </c>
      <c r="M965" s="2">
        <v>538</v>
      </c>
      <c r="N965" s="2">
        <v>359.15</v>
      </c>
      <c r="O965" s="2">
        <v>164.85</v>
      </c>
      <c r="P965" s="2">
        <v>33.24</v>
      </c>
    </row>
    <row r="966" spans="1:16" x14ac:dyDescent="0.25">
      <c r="A966" t="s">
        <v>15</v>
      </c>
      <c r="B966" t="s">
        <v>1293</v>
      </c>
      <c r="C966" t="s">
        <v>17</v>
      </c>
      <c r="D966" t="s">
        <v>1309</v>
      </c>
      <c r="E966" t="s">
        <v>19</v>
      </c>
      <c r="F966" t="s">
        <v>50</v>
      </c>
      <c r="G966" s="1">
        <f>45824</f>
        <v>45824</v>
      </c>
      <c r="H966" t="s">
        <v>51</v>
      </c>
      <c r="I966" s="2">
        <v>930.92</v>
      </c>
      <c r="J966" s="2">
        <v>639</v>
      </c>
      <c r="K966" s="2">
        <v>291.92</v>
      </c>
      <c r="L966" s="2">
        <v>31.36</v>
      </c>
      <c r="M966" s="2">
        <v>930.92</v>
      </c>
      <c r="N966" s="2">
        <v>639</v>
      </c>
      <c r="O966" s="2">
        <v>193.92</v>
      </c>
      <c r="P966" s="2">
        <v>31.36</v>
      </c>
    </row>
    <row r="967" spans="1:16" x14ac:dyDescent="0.25">
      <c r="A967" t="s">
        <v>15</v>
      </c>
      <c r="B967" t="s">
        <v>1293</v>
      </c>
      <c r="C967" t="s">
        <v>17</v>
      </c>
      <c r="D967" t="s">
        <v>1310</v>
      </c>
      <c r="E967" t="s">
        <v>19</v>
      </c>
      <c r="F967" t="s">
        <v>50</v>
      </c>
      <c r="G967" s="1">
        <f>45828</f>
        <v>45828</v>
      </c>
      <c r="H967" t="s">
        <v>51</v>
      </c>
      <c r="I967" s="2">
        <v>1249.3499999999999</v>
      </c>
      <c r="J967" s="2">
        <v>864.24</v>
      </c>
      <c r="K967" s="2">
        <v>385.11</v>
      </c>
      <c r="L967" s="2">
        <v>30.82</v>
      </c>
      <c r="M967" s="2">
        <v>1249.3499999999999</v>
      </c>
      <c r="N967" s="2">
        <v>864.14</v>
      </c>
      <c r="O967" s="2">
        <v>377.57</v>
      </c>
      <c r="P967" s="2">
        <v>30.83</v>
      </c>
    </row>
    <row r="968" spans="1:16" x14ac:dyDescent="0.25">
      <c r="A968" t="s">
        <v>15</v>
      </c>
      <c r="B968" t="s">
        <v>1293</v>
      </c>
      <c r="C968" t="s">
        <v>17</v>
      </c>
      <c r="D968" t="s">
        <v>1311</v>
      </c>
      <c r="E968" t="s">
        <v>19</v>
      </c>
      <c r="F968" t="s">
        <v>491</v>
      </c>
      <c r="G968" s="1">
        <f>45827</f>
        <v>45827</v>
      </c>
      <c r="H968" t="s">
        <v>51</v>
      </c>
      <c r="I968" s="2">
        <v>369.55</v>
      </c>
      <c r="J968" s="2">
        <v>237.99</v>
      </c>
      <c r="K968" s="2">
        <v>131.56</v>
      </c>
      <c r="L968" s="2">
        <v>35.6</v>
      </c>
      <c r="M968" s="2">
        <v>369.55</v>
      </c>
      <c r="N968" s="2">
        <v>238.01</v>
      </c>
      <c r="O968" s="2">
        <v>118.05</v>
      </c>
      <c r="P968" s="2">
        <v>35.590000000000003</v>
      </c>
    </row>
    <row r="969" spans="1:16" x14ac:dyDescent="0.25">
      <c r="A969" t="s">
        <v>15</v>
      </c>
      <c r="B969" t="s">
        <v>1293</v>
      </c>
      <c r="C969" t="s">
        <v>17</v>
      </c>
      <c r="D969" t="s">
        <v>1312</v>
      </c>
      <c r="E969" t="s">
        <v>19</v>
      </c>
      <c r="F969" t="s">
        <v>404</v>
      </c>
      <c r="G969" s="1">
        <f>45832</f>
        <v>45832</v>
      </c>
      <c r="H969" t="s">
        <v>51</v>
      </c>
      <c r="I969" s="2">
        <v>643.70000000000005</v>
      </c>
      <c r="J969" s="2">
        <v>442.78</v>
      </c>
      <c r="K969" s="2">
        <v>200.92</v>
      </c>
      <c r="L969" s="2">
        <v>31.21</v>
      </c>
      <c r="M969" s="2">
        <v>643.70000000000005</v>
      </c>
      <c r="N969" s="2">
        <v>442.78</v>
      </c>
      <c r="O969" s="2">
        <v>191.92</v>
      </c>
      <c r="P969" s="2">
        <v>31.21</v>
      </c>
    </row>
    <row r="970" spans="1:16" x14ac:dyDescent="0.25">
      <c r="A970" t="s">
        <v>15</v>
      </c>
      <c r="B970" t="s">
        <v>1293</v>
      </c>
      <c r="C970" t="s">
        <v>17</v>
      </c>
      <c r="D970" t="s">
        <v>1313</v>
      </c>
      <c r="E970" t="s">
        <v>19</v>
      </c>
      <c r="F970" t="s">
        <v>1314</v>
      </c>
      <c r="G970" s="1">
        <f>45833</f>
        <v>45833</v>
      </c>
      <c r="H970" t="s">
        <v>51</v>
      </c>
      <c r="I970" s="2">
        <v>1100</v>
      </c>
      <c r="J970" s="2">
        <v>767</v>
      </c>
      <c r="K970" s="2">
        <v>333</v>
      </c>
      <c r="L970" s="2">
        <v>30.27</v>
      </c>
      <c r="M970" s="2">
        <v>1100</v>
      </c>
      <c r="N970" s="2">
        <v>767</v>
      </c>
      <c r="O970" s="2">
        <v>303.07</v>
      </c>
      <c r="P970" s="2">
        <v>30.27</v>
      </c>
    </row>
    <row r="971" spans="1:16" x14ac:dyDescent="0.25">
      <c r="A971" t="s">
        <v>15</v>
      </c>
      <c r="B971" t="s">
        <v>1293</v>
      </c>
      <c r="C971" t="s">
        <v>17</v>
      </c>
      <c r="D971" t="s">
        <v>1315</v>
      </c>
      <c r="E971" t="s">
        <v>19</v>
      </c>
      <c r="F971" t="s">
        <v>494</v>
      </c>
      <c r="G971" s="1">
        <f>45834</f>
        <v>45834</v>
      </c>
      <c r="H971" t="s">
        <v>51</v>
      </c>
      <c r="I971" s="2">
        <v>168.1</v>
      </c>
      <c r="J971" s="2">
        <v>113</v>
      </c>
      <c r="K971" s="2">
        <v>55.1</v>
      </c>
      <c r="L971" s="2">
        <v>32.78</v>
      </c>
      <c r="M971" s="2">
        <v>168.1</v>
      </c>
      <c r="N971" s="2">
        <v>113</v>
      </c>
      <c r="O971" s="2">
        <v>-3.9</v>
      </c>
      <c r="P971" s="2">
        <v>32.78</v>
      </c>
    </row>
    <row r="972" spans="1:16" x14ac:dyDescent="0.25">
      <c r="A972" t="s">
        <v>15</v>
      </c>
      <c r="B972" t="s">
        <v>1293</v>
      </c>
      <c r="C972" t="s">
        <v>17</v>
      </c>
      <c r="D972" t="s">
        <v>1316</v>
      </c>
      <c r="E972" t="s">
        <v>19</v>
      </c>
      <c r="F972" t="s">
        <v>944</v>
      </c>
      <c r="G972" s="1">
        <f>45833</f>
        <v>45833</v>
      </c>
      <c r="H972" t="s">
        <v>51</v>
      </c>
      <c r="I972" s="2">
        <v>907.25</v>
      </c>
      <c r="J972" s="2">
        <v>446.1</v>
      </c>
      <c r="K972" s="2">
        <v>461.15</v>
      </c>
      <c r="L972" s="2">
        <v>50.83</v>
      </c>
      <c r="M972" s="2">
        <v>907.25</v>
      </c>
      <c r="N972" s="2">
        <v>445.95</v>
      </c>
      <c r="O972" s="2">
        <v>306.3</v>
      </c>
      <c r="P972" s="2">
        <v>50.85</v>
      </c>
    </row>
    <row r="973" spans="1:16" x14ac:dyDescent="0.25">
      <c r="A973" t="s">
        <v>15</v>
      </c>
      <c r="B973" t="s">
        <v>1293</v>
      </c>
      <c r="C973" t="s">
        <v>58</v>
      </c>
      <c r="D973" t="s">
        <v>1317</v>
      </c>
      <c r="E973" t="s">
        <v>47</v>
      </c>
      <c r="F973" t="s">
        <v>1318</v>
      </c>
      <c r="G973" s="1">
        <f>45812</f>
        <v>45812</v>
      </c>
      <c r="H973" t="s">
        <v>2422</v>
      </c>
      <c r="I973" s="2">
        <v>0</v>
      </c>
      <c r="J973" s="2">
        <v>225</v>
      </c>
      <c r="K973" s="2">
        <v>-225</v>
      </c>
      <c r="L973" s="2">
        <v>0</v>
      </c>
      <c r="M973" s="2">
        <v>0</v>
      </c>
      <c r="N973" s="2">
        <v>159.31</v>
      </c>
      <c r="O973" s="2">
        <v>0</v>
      </c>
      <c r="P973" s="2">
        <v>0</v>
      </c>
    </row>
    <row r="974" spans="1:16" x14ac:dyDescent="0.25">
      <c r="A974" t="s">
        <v>15</v>
      </c>
      <c r="B974" t="s">
        <v>1293</v>
      </c>
      <c r="C974" t="s">
        <v>58</v>
      </c>
      <c r="D974" t="s">
        <v>1319</v>
      </c>
      <c r="E974" t="s">
        <v>19</v>
      </c>
      <c r="F974" t="s">
        <v>64</v>
      </c>
      <c r="G974" s="1">
        <f>45810</f>
        <v>45810</v>
      </c>
      <c r="H974" t="s">
        <v>56</v>
      </c>
      <c r="I974" s="2">
        <v>1312.5</v>
      </c>
      <c r="J974" s="2">
        <v>876.03</v>
      </c>
      <c r="K974" s="2">
        <v>436.47</v>
      </c>
      <c r="L974" s="2">
        <v>33.25</v>
      </c>
      <c r="M974" s="2">
        <v>1312.5</v>
      </c>
      <c r="N974" s="2">
        <v>876.03</v>
      </c>
      <c r="O974" s="2">
        <v>372.47</v>
      </c>
      <c r="P974" s="2">
        <v>33.25</v>
      </c>
    </row>
    <row r="975" spans="1:16" x14ac:dyDescent="0.25">
      <c r="A975" t="s">
        <v>15</v>
      </c>
      <c r="B975" t="s">
        <v>1293</v>
      </c>
      <c r="C975" t="s">
        <v>58</v>
      </c>
      <c r="D975" t="s">
        <v>1320</v>
      </c>
      <c r="E975" t="s">
        <v>19</v>
      </c>
      <c r="F975" t="s">
        <v>408</v>
      </c>
      <c r="G975" s="1">
        <f>45810</f>
        <v>45810</v>
      </c>
      <c r="H975" t="s">
        <v>56</v>
      </c>
      <c r="I975" s="2">
        <v>3331</v>
      </c>
      <c r="J975" s="2">
        <v>1746.23</v>
      </c>
      <c r="K975" s="2">
        <v>1584.77</v>
      </c>
      <c r="L975" s="2">
        <v>47.58</v>
      </c>
      <c r="M975" s="2">
        <v>3331</v>
      </c>
      <c r="N975" s="2">
        <v>1746.23</v>
      </c>
      <c r="O975" s="2">
        <v>1565.44</v>
      </c>
      <c r="P975" s="2">
        <v>47.58</v>
      </c>
    </row>
    <row r="976" spans="1:16" x14ac:dyDescent="0.25">
      <c r="A976" t="s">
        <v>15</v>
      </c>
      <c r="B976" t="s">
        <v>1293</v>
      </c>
      <c r="C976" t="s">
        <v>58</v>
      </c>
      <c r="D976" t="s">
        <v>1321</v>
      </c>
      <c r="E976" t="s">
        <v>19</v>
      </c>
      <c r="F976" t="s">
        <v>465</v>
      </c>
      <c r="G976" s="1">
        <f>45810</f>
        <v>45810</v>
      </c>
      <c r="H976" t="s">
        <v>56</v>
      </c>
      <c r="I976" s="2">
        <v>3380.43</v>
      </c>
      <c r="J976" s="2">
        <v>2259.4899999999998</v>
      </c>
      <c r="K976" s="2">
        <v>1120.93</v>
      </c>
      <c r="L976" s="2">
        <v>33.159999999999997</v>
      </c>
      <c r="M976" s="2">
        <v>3380.43</v>
      </c>
      <c r="N976" s="2">
        <v>2252.11</v>
      </c>
      <c r="O976" s="2">
        <v>990.32</v>
      </c>
      <c r="P976" s="2">
        <v>33.380000000000003</v>
      </c>
    </row>
    <row r="977" spans="1:16" x14ac:dyDescent="0.25">
      <c r="A977" t="s">
        <v>15</v>
      </c>
      <c r="B977" t="s">
        <v>1293</v>
      </c>
      <c r="C977" t="s">
        <v>58</v>
      </c>
      <c r="D977" t="s">
        <v>1322</v>
      </c>
      <c r="E977" t="s">
        <v>19</v>
      </c>
      <c r="F977" t="s">
        <v>64</v>
      </c>
      <c r="G977" s="1">
        <f>45811</f>
        <v>45811</v>
      </c>
      <c r="H977" t="s">
        <v>56</v>
      </c>
      <c r="I977" s="2">
        <v>627.62</v>
      </c>
      <c r="J977" s="2">
        <v>451.89</v>
      </c>
      <c r="K977" s="2">
        <v>175.73</v>
      </c>
      <c r="L977" s="2">
        <v>28</v>
      </c>
      <c r="M977" s="2">
        <v>627.62</v>
      </c>
      <c r="N977" s="2">
        <v>451.89</v>
      </c>
      <c r="O977" s="2">
        <v>175.73</v>
      </c>
      <c r="P977" s="2">
        <v>28</v>
      </c>
    </row>
    <row r="978" spans="1:16" x14ac:dyDescent="0.25">
      <c r="A978" t="s">
        <v>15</v>
      </c>
      <c r="B978" t="s">
        <v>1293</v>
      </c>
      <c r="C978" t="s">
        <v>58</v>
      </c>
      <c r="D978" t="s">
        <v>1323</v>
      </c>
      <c r="E978" t="s">
        <v>19</v>
      </c>
      <c r="F978" t="s">
        <v>1324</v>
      </c>
      <c r="G978" s="1">
        <f>45811</f>
        <v>45811</v>
      </c>
      <c r="H978" t="s">
        <v>56</v>
      </c>
      <c r="I978" s="2">
        <v>432.07</v>
      </c>
      <c r="J978" s="2">
        <v>173.64</v>
      </c>
      <c r="K978" s="2">
        <v>258.43</v>
      </c>
      <c r="L978" s="2">
        <v>59.81</v>
      </c>
      <c r="M978" s="2">
        <v>432.07</v>
      </c>
      <c r="N978" s="2">
        <v>173.64</v>
      </c>
      <c r="O978" s="2">
        <v>244.43</v>
      </c>
      <c r="P978" s="2">
        <v>59.81</v>
      </c>
    </row>
    <row r="979" spans="1:16" x14ac:dyDescent="0.25">
      <c r="A979" t="s">
        <v>15</v>
      </c>
      <c r="B979" t="s">
        <v>1293</v>
      </c>
      <c r="C979" t="s">
        <v>58</v>
      </c>
      <c r="D979" t="s">
        <v>1325</v>
      </c>
      <c r="E979" t="s">
        <v>19</v>
      </c>
      <c r="F979" t="s">
        <v>67</v>
      </c>
      <c r="G979" s="1">
        <f>45811</f>
        <v>45811</v>
      </c>
      <c r="H979" t="s">
        <v>56</v>
      </c>
      <c r="I979" s="2">
        <v>294</v>
      </c>
      <c r="J979" s="2">
        <v>162.18</v>
      </c>
      <c r="K979" s="2">
        <v>131.82</v>
      </c>
      <c r="L979" s="2">
        <v>44.84</v>
      </c>
      <c r="M979" s="2">
        <v>294</v>
      </c>
      <c r="N979" s="2">
        <v>162.18</v>
      </c>
      <c r="O979" s="2">
        <v>83.16</v>
      </c>
      <c r="P979" s="2">
        <v>44.84</v>
      </c>
    </row>
    <row r="980" spans="1:16" x14ac:dyDescent="0.25">
      <c r="A980" t="s">
        <v>15</v>
      </c>
      <c r="B980" t="s">
        <v>1293</v>
      </c>
      <c r="C980" t="s">
        <v>58</v>
      </c>
      <c r="D980" t="s">
        <v>1326</v>
      </c>
      <c r="E980" t="s">
        <v>19</v>
      </c>
      <c r="F980" t="s">
        <v>144</v>
      </c>
      <c r="G980" s="1">
        <f>45811</f>
        <v>45811</v>
      </c>
      <c r="H980" t="s">
        <v>56</v>
      </c>
      <c r="I980" s="2">
        <v>3087</v>
      </c>
      <c r="J980" s="2">
        <v>2067.6799999999998</v>
      </c>
      <c r="K980" s="2">
        <v>1019.32</v>
      </c>
      <c r="L980" s="2">
        <v>33.020000000000003</v>
      </c>
      <c r="M980" s="2">
        <v>3087</v>
      </c>
      <c r="N980" s="2">
        <v>2067.6799999999998</v>
      </c>
      <c r="O980" s="2">
        <v>937.32</v>
      </c>
      <c r="P980" s="2">
        <v>33.020000000000003</v>
      </c>
    </row>
    <row r="981" spans="1:16" x14ac:dyDescent="0.25">
      <c r="A981" t="s">
        <v>15</v>
      </c>
      <c r="B981" t="s">
        <v>1293</v>
      </c>
      <c r="C981" t="s">
        <v>58</v>
      </c>
      <c r="D981" t="s">
        <v>1327</v>
      </c>
      <c r="E981" t="s">
        <v>19</v>
      </c>
      <c r="F981" t="s">
        <v>77</v>
      </c>
      <c r="G981" s="1">
        <f>45811</f>
        <v>45811</v>
      </c>
      <c r="H981" t="s">
        <v>56</v>
      </c>
      <c r="I981" s="2">
        <v>1203.6600000000001</v>
      </c>
      <c r="J981" s="2">
        <v>785.44</v>
      </c>
      <c r="K981" s="2">
        <v>418.22</v>
      </c>
      <c r="L981" s="2">
        <v>34.75</v>
      </c>
      <c r="M981" s="2">
        <v>1203.6600000000001</v>
      </c>
      <c r="N981" s="2">
        <v>785.44</v>
      </c>
      <c r="O981" s="2">
        <v>375.22</v>
      </c>
      <c r="P981" s="2">
        <v>34.75</v>
      </c>
    </row>
    <row r="982" spans="1:16" x14ac:dyDescent="0.25">
      <c r="A982" t="s">
        <v>15</v>
      </c>
      <c r="B982" t="s">
        <v>1293</v>
      </c>
      <c r="C982" t="s">
        <v>58</v>
      </c>
      <c r="D982" t="s">
        <v>1328</v>
      </c>
      <c r="E982" t="s">
        <v>19</v>
      </c>
      <c r="F982" t="s">
        <v>1329</v>
      </c>
      <c r="G982" s="1">
        <f>45812</f>
        <v>45812</v>
      </c>
      <c r="H982" t="s">
        <v>56</v>
      </c>
      <c r="I982" s="2">
        <v>480.75</v>
      </c>
      <c r="J982" s="2">
        <v>284</v>
      </c>
      <c r="K982" s="2">
        <v>196.75</v>
      </c>
      <c r="L982" s="2">
        <v>40.93</v>
      </c>
      <c r="M982" s="2">
        <v>480.75</v>
      </c>
      <c r="N982" s="2">
        <v>284</v>
      </c>
      <c r="O982" s="2">
        <v>152.75</v>
      </c>
      <c r="P982" s="2">
        <v>40.93</v>
      </c>
    </row>
    <row r="983" spans="1:16" x14ac:dyDescent="0.25">
      <c r="A983" t="s">
        <v>15</v>
      </c>
      <c r="B983" t="s">
        <v>1293</v>
      </c>
      <c r="C983" t="s">
        <v>58</v>
      </c>
      <c r="D983" t="s">
        <v>1330</v>
      </c>
      <c r="E983" t="s">
        <v>19</v>
      </c>
      <c r="F983" t="s">
        <v>144</v>
      </c>
      <c r="G983" s="1">
        <f>45812</f>
        <v>45812</v>
      </c>
      <c r="H983" t="s">
        <v>56</v>
      </c>
      <c r="I983" s="2">
        <v>272.3</v>
      </c>
      <c r="J983" s="2">
        <v>175.7</v>
      </c>
      <c r="K983" s="2">
        <v>96.6</v>
      </c>
      <c r="L983" s="2">
        <v>35.479999999999997</v>
      </c>
      <c r="M983" s="2">
        <v>272.3</v>
      </c>
      <c r="N983" s="2">
        <v>175.7</v>
      </c>
      <c r="O983" s="2">
        <v>86.6</v>
      </c>
      <c r="P983" s="2">
        <v>35.479999999999997</v>
      </c>
    </row>
    <row r="984" spans="1:16" x14ac:dyDescent="0.25">
      <c r="A984" t="s">
        <v>15</v>
      </c>
      <c r="B984" t="s">
        <v>1293</v>
      </c>
      <c r="C984" t="s">
        <v>58</v>
      </c>
      <c r="D984" t="s">
        <v>1331</v>
      </c>
      <c r="E984" t="s">
        <v>19</v>
      </c>
      <c r="F984" t="s">
        <v>465</v>
      </c>
      <c r="G984" s="1">
        <f>45812</f>
        <v>45812</v>
      </c>
      <c r="H984" t="s">
        <v>56</v>
      </c>
      <c r="I984" s="2">
        <v>703.1</v>
      </c>
      <c r="J984" s="2">
        <v>460.6</v>
      </c>
      <c r="K984" s="2">
        <v>242.5</v>
      </c>
      <c r="L984" s="2">
        <v>34.49</v>
      </c>
      <c r="M984" s="2">
        <v>703.1</v>
      </c>
      <c r="N984" s="2">
        <v>460.59</v>
      </c>
      <c r="O984" s="2">
        <v>229.48</v>
      </c>
      <c r="P984" s="2">
        <v>34.49</v>
      </c>
    </row>
    <row r="985" spans="1:16" x14ac:dyDescent="0.25">
      <c r="A985" t="s">
        <v>15</v>
      </c>
      <c r="B985" t="s">
        <v>1293</v>
      </c>
      <c r="C985" t="s">
        <v>58</v>
      </c>
      <c r="D985" t="s">
        <v>1332</v>
      </c>
      <c r="E985" t="s">
        <v>19</v>
      </c>
      <c r="F985" t="s">
        <v>64</v>
      </c>
      <c r="G985" s="1">
        <f>45813</f>
        <v>45813</v>
      </c>
      <c r="H985" t="s">
        <v>51</v>
      </c>
      <c r="I985" s="2">
        <v>1589.71</v>
      </c>
      <c r="J985" s="2">
        <v>1164</v>
      </c>
      <c r="K985" s="2">
        <v>425.71</v>
      </c>
      <c r="L985" s="2">
        <v>26.78</v>
      </c>
      <c r="M985" s="2">
        <v>1589.71</v>
      </c>
      <c r="N985" s="2">
        <v>1164</v>
      </c>
      <c r="O985" s="2">
        <v>377.71</v>
      </c>
      <c r="P985" s="2">
        <v>26.78</v>
      </c>
    </row>
    <row r="986" spans="1:16" x14ac:dyDescent="0.25">
      <c r="A986" t="s">
        <v>15</v>
      </c>
      <c r="B986" t="s">
        <v>1293</v>
      </c>
      <c r="C986" t="s">
        <v>58</v>
      </c>
      <c r="D986" t="s">
        <v>1333</v>
      </c>
      <c r="E986" t="s">
        <v>19</v>
      </c>
      <c r="F986" t="s">
        <v>698</v>
      </c>
      <c r="G986" s="1">
        <f>45813</f>
        <v>45813</v>
      </c>
      <c r="H986" t="s">
        <v>51</v>
      </c>
      <c r="I986" s="2">
        <v>1118</v>
      </c>
      <c r="J986" s="2">
        <v>645.35</v>
      </c>
      <c r="K986" s="2">
        <v>472.65</v>
      </c>
      <c r="L986" s="2">
        <v>42.28</v>
      </c>
      <c r="M986" s="2">
        <v>1118</v>
      </c>
      <c r="N986" s="2">
        <v>645.35</v>
      </c>
      <c r="O986" s="2">
        <v>400.3</v>
      </c>
      <c r="P986" s="2">
        <v>42.28</v>
      </c>
    </row>
    <row r="987" spans="1:16" x14ac:dyDescent="0.25">
      <c r="A987" t="s">
        <v>15</v>
      </c>
      <c r="B987" t="s">
        <v>1293</v>
      </c>
      <c r="C987" t="s">
        <v>58</v>
      </c>
      <c r="D987" t="s">
        <v>1334</v>
      </c>
      <c r="E987" t="s">
        <v>19</v>
      </c>
      <c r="F987" t="s">
        <v>408</v>
      </c>
      <c r="G987" s="1">
        <f>45814</f>
        <v>45814</v>
      </c>
      <c r="H987" t="s">
        <v>51</v>
      </c>
      <c r="I987" s="2">
        <v>135</v>
      </c>
      <c r="J987" s="2">
        <v>91.82</v>
      </c>
      <c r="K987" s="2">
        <v>43.18</v>
      </c>
      <c r="L987" s="2">
        <v>31.99</v>
      </c>
      <c r="M987" s="2">
        <v>135</v>
      </c>
      <c r="N987" s="2">
        <v>91.76</v>
      </c>
      <c r="O987" s="2">
        <v>30.82</v>
      </c>
      <c r="P987" s="2">
        <v>32.03</v>
      </c>
    </row>
    <row r="988" spans="1:16" x14ac:dyDescent="0.25">
      <c r="A988" t="s">
        <v>15</v>
      </c>
      <c r="B988" t="s">
        <v>1293</v>
      </c>
      <c r="C988" t="s">
        <v>58</v>
      </c>
      <c r="D988" t="s">
        <v>1335</v>
      </c>
      <c r="E988" t="s">
        <v>19</v>
      </c>
      <c r="F988" t="s">
        <v>408</v>
      </c>
      <c r="G988" s="1">
        <f>45812</f>
        <v>45812</v>
      </c>
      <c r="H988" t="s">
        <v>56</v>
      </c>
      <c r="I988" s="2">
        <v>459.9</v>
      </c>
      <c r="J988" s="2">
        <v>279.99</v>
      </c>
      <c r="K988" s="2">
        <v>179.91</v>
      </c>
      <c r="L988" s="2">
        <v>39.119999999999997</v>
      </c>
      <c r="M988" s="2">
        <v>459.9</v>
      </c>
      <c r="N988" s="2">
        <v>279.99</v>
      </c>
      <c r="O988" s="2">
        <v>179.91</v>
      </c>
      <c r="P988" s="2">
        <v>39.119999999999997</v>
      </c>
    </row>
    <row r="989" spans="1:16" x14ac:dyDescent="0.25">
      <c r="A989" t="s">
        <v>15</v>
      </c>
      <c r="B989" t="s">
        <v>1293</v>
      </c>
      <c r="C989" t="s">
        <v>58</v>
      </c>
      <c r="D989" t="s">
        <v>1336</v>
      </c>
      <c r="E989" t="s">
        <v>19</v>
      </c>
      <c r="F989" t="s">
        <v>129</v>
      </c>
      <c r="G989" s="1">
        <f>45818</f>
        <v>45818</v>
      </c>
      <c r="H989" t="s">
        <v>56</v>
      </c>
      <c r="I989" s="2">
        <v>277.3</v>
      </c>
      <c r="J989" s="2">
        <v>113.05</v>
      </c>
      <c r="K989" s="2">
        <v>164.25</v>
      </c>
      <c r="L989" s="2">
        <v>59.23</v>
      </c>
      <c r="M989" s="2">
        <v>277.3</v>
      </c>
      <c r="N989" s="2">
        <v>113.05</v>
      </c>
      <c r="O989" s="2">
        <v>154.25</v>
      </c>
      <c r="P989" s="2">
        <v>59.23</v>
      </c>
    </row>
    <row r="990" spans="1:16" x14ac:dyDescent="0.25">
      <c r="A990" t="s">
        <v>15</v>
      </c>
      <c r="B990" t="s">
        <v>1293</v>
      </c>
      <c r="C990" t="s">
        <v>58</v>
      </c>
      <c r="D990" t="s">
        <v>1337</v>
      </c>
      <c r="E990" t="s">
        <v>19</v>
      </c>
      <c r="F990" t="s">
        <v>1338</v>
      </c>
      <c r="G990" s="1">
        <f>45819</f>
        <v>45819</v>
      </c>
      <c r="H990" t="s">
        <v>51</v>
      </c>
      <c r="I990" s="2">
        <v>486.5</v>
      </c>
      <c r="J990" s="2">
        <v>334</v>
      </c>
      <c r="K990" s="2">
        <v>152.5</v>
      </c>
      <c r="L990" s="2">
        <v>31.35</v>
      </c>
      <c r="M990" s="2">
        <v>486.5</v>
      </c>
      <c r="N990" s="2">
        <v>334</v>
      </c>
      <c r="O990" s="2">
        <v>118.5</v>
      </c>
      <c r="P990" s="2">
        <v>31.35</v>
      </c>
    </row>
    <row r="991" spans="1:16" x14ac:dyDescent="0.25">
      <c r="A991" t="s">
        <v>15</v>
      </c>
      <c r="B991" t="s">
        <v>1293</v>
      </c>
      <c r="C991" t="s">
        <v>58</v>
      </c>
      <c r="D991" t="s">
        <v>1339</v>
      </c>
      <c r="E991" t="s">
        <v>19</v>
      </c>
      <c r="F991" t="s">
        <v>64</v>
      </c>
      <c r="G991" s="1">
        <f>45819</f>
        <v>45819</v>
      </c>
      <c r="H991" t="s">
        <v>51</v>
      </c>
      <c r="I991" s="2">
        <v>155.80000000000001</v>
      </c>
      <c r="J991" s="2">
        <v>76.2</v>
      </c>
      <c r="K991" s="2">
        <v>79.599999999999994</v>
      </c>
      <c r="L991" s="2">
        <v>51.09</v>
      </c>
      <c r="M991" s="2">
        <v>155.80000000000001</v>
      </c>
      <c r="N991" s="2">
        <v>76.2</v>
      </c>
      <c r="O991" s="2">
        <v>54.6</v>
      </c>
      <c r="P991" s="2">
        <v>51.09</v>
      </c>
    </row>
    <row r="992" spans="1:16" x14ac:dyDescent="0.25">
      <c r="A992" t="s">
        <v>15</v>
      </c>
      <c r="B992" t="s">
        <v>1293</v>
      </c>
      <c r="C992" t="s">
        <v>58</v>
      </c>
      <c r="D992" t="s">
        <v>1340</v>
      </c>
      <c r="E992" t="s">
        <v>19</v>
      </c>
      <c r="F992" t="s">
        <v>724</v>
      </c>
      <c r="G992" s="1">
        <f>45819</f>
        <v>45819</v>
      </c>
      <c r="H992" t="s">
        <v>56</v>
      </c>
      <c r="I992" s="2">
        <v>1441.98</v>
      </c>
      <c r="J992" s="2">
        <v>791.26</v>
      </c>
      <c r="K992" s="2">
        <v>650.72</v>
      </c>
      <c r="L992" s="2">
        <v>45.13</v>
      </c>
      <c r="M992" s="2">
        <v>1441.98</v>
      </c>
      <c r="N992" s="2">
        <v>791.26</v>
      </c>
      <c r="O992" s="2">
        <v>616.72</v>
      </c>
      <c r="P992" s="2">
        <v>45.13</v>
      </c>
    </row>
    <row r="993" spans="1:16" x14ac:dyDescent="0.25">
      <c r="A993" t="s">
        <v>15</v>
      </c>
      <c r="B993" t="s">
        <v>1293</v>
      </c>
      <c r="C993" t="s">
        <v>58</v>
      </c>
      <c r="D993" t="s">
        <v>1341</v>
      </c>
      <c r="E993" t="s">
        <v>19</v>
      </c>
      <c r="F993" t="s">
        <v>137</v>
      </c>
      <c r="G993" s="1">
        <f>45819</f>
        <v>45819</v>
      </c>
      <c r="H993" t="s">
        <v>56</v>
      </c>
      <c r="I993" s="2">
        <v>474.6</v>
      </c>
      <c r="J993" s="2">
        <v>310.5</v>
      </c>
      <c r="K993" s="2">
        <v>164.1</v>
      </c>
      <c r="L993" s="2">
        <v>34.58</v>
      </c>
      <c r="M993" s="2">
        <v>474.6</v>
      </c>
      <c r="N993" s="2">
        <v>310.5</v>
      </c>
      <c r="O993" s="2">
        <v>136.1</v>
      </c>
      <c r="P993" s="2">
        <v>34.58</v>
      </c>
    </row>
    <row r="994" spans="1:16" x14ac:dyDescent="0.25">
      <c r="A994" t="s">
        <v>15</v>
      </c>
      <c r="B994" t="s">
        <v>1293</v>
      </c>
      <c r="C994" t="s">
        <v>58</v>
      </c>
      <c r="D994" t="s">
        <v>1342</v>
      </c>
      <c r="E994" t="s">
        <v>19</v>
      </c>
      <c r="F994" t="s">
        <v>1343</v>
      </c>
      <c r="G994" s="1">
        <f>45821</f>
        <v>45821</v>
      </c>
      <c r="H994" t="s">
        <v>56</v>
      </c>
      <c r="I994" s="2">
        <v>2985</v>
      </c>
      <c r="J994" s="2">
        <v>2020</v>
      </c>
      <c r="K994" s="2">
        <v>965</v>
      </c>
      <c r="L994" s="2">
        <v>32.33</v>
      </c>
      <c r="M994" s="2">
        <v>2985</v>
      </c>
      <c r="N994" s="2">
        <v>2095</v>
      </c>
      <c r="O994" s="2">
        <v>820</v>
      </c>
      <c r="P994" s="2">
        <v>29.82</v>
      </c>
    </row>
    <row r="995" spans="1:16" x14ac:dyDescent="0.25">
      <c r="A995" t="s">
        <v>15</v>
      </c>
      <c r="B995" t="s">
        <v>1293</v>
      </c>
      <c r="C995" t="s">
        <v>58</v>
      </c>
      <c r="D995" t="s">
        <v>1344</v>
      </c>
      <c r="E995" t="s">
        <v>19</v>
      </c>
      <c r="F995" t="s">
        <v>713</v>
      </c>
      <c r="G995" s="1">
        <f>45825</f>
        <v>45825</v>
      </c>
      <c r="H995" t="s">
        <v>56</v>
      </c>
      <c r="I995" s="2">
        <v>2332</v>
      </c>
      <c r="J995" s="2">
        <v>1585.34</v>
      </c>
      <c r="K995" s="2">
        <v>746.66</v>
      </c>
      <c r="L995" s="2">
        <v>32.020000000000003</v>
      </c>
      <c r="M995" s="2">
        <v>2332</v>
      </c>
      <c r="N995" s="2">
        <v>1585.34</v>
      </c>
      <c r="O995" s="2">
        <v>746.66</v>
      </c>
      <c r="P995" s="2">
        <v>32.020000000000003</v>
      </c>
    </row>
    <row r="996" spans="1:16" x14ac:dyDescent="0.25">
      <c r="A996" t="s">
        <v>15</v>
      </c>
      <c r="B996" t="s">
        <v>1293</v>
      </c>
      <c r="C996" t="s">
        <v>58</v>
      </c>
      <c r="D996" t="s">
        <v>1345</v>
      </c>
      <c r="E996" t="s">
        <v>47</v>
      </c>
      <c r="F996" t="s">
        <v>408</v>
      </c>
      <c r="G996" s="1">
        <f>45825</f>
        <v>45825</v>
      </c>
      <c r="H996" t="s">
        <v>56</v>
      </c>
      <c r="I996" s="2">
        <v>2790.68</v>
      </c>
      <c r="J996" s="2">
        <v>1812.12</v>
      </c>
      <c r="K996" s="2">
        <v>978.56</v>
      </c>
      <c r="L996" s="2">
        <v>35.07</v>
      </c>
      <c r="M996" s="2">
        <v>2676.86</v>
      </c>
      <c r="N996" s="2">
        <v>1829.3</v>
      </c>
      <c r="O996" s="2">
        <v>785.76</v>
      </c>
      <c r="P996" s="2">
        <v>31.66</v>
      </c>
    </row>
    <row r="997" spans="1:16" x14ac:dyDescent="0.25">
      <c r="A997" t="s">
        <v>15</v>
      </c>
      <c r="B997" t="s">
        <v>1293</v>
      </c>
      <c r="C997" t="s">
        <v>58</v>
      </c>
      <c r="D997" t="s">
        <v>1346</v>
      </c>
      <c r="E997" t="s">
        <v>19</v>
      </c>
      <c r="F997" t="s">
        <v>1347</v>
      </c>
      <c r="G997" s="1">
        <f>45825</f>
        <v>45825</v>
      </c>
      <c r="H997" t="s">
        <v>56</v>
      </c>
      <c r="I997" s="2">
        <v>302</v>
      </c>
      <c r="J997" s="2">
        <v>239</v>
      </c>
      <c r="K997" s="2">
        <v>63</v>
      </c>
      <c r="L997" s="2">
        <v>20.86</v>
      </c>
      <c r="M997" s="2">
        <v>302</v>
      </c>
      <c r="N997" s="2">
        <v>239</v>
      </c>
      <c r="O997" s="2">
        <v>34</v>
      </c>
      <c r="P997" s="2">
        <v>20.86</v>
      </c>
    </row>
    <row r="998" spans="1:16" x14ac:dyDescent="0.25">
      <c r="A998" t="s">
        <v>15</v>
      </c>
      <c r="B998" t="s">
        <v>1293</v>
      </c>
      <c r="C998" t="s">
        <v>58</v>
      </c>
      <c r="D998" t="s">
        <v>1348</v>
      </c>
      <c r="E998" t="s">
        <v>19</v>
      </c>
      <c r="F998" t="s">
        <v>131</v>
      </c>
      <c r="G998" s="1">
        <f>45826</f>
        <v>45826</v>
      </c>
      <c r="H998" t="s">
        <v>56</v>
      </c>
      <c r="I998" s="2">
        <v>960.08</v>
      </c>
      <c r="J998" s="2">
        <v>599.85</v>
      </c>
      <c r="K998" s="2">
        <v>360.23</v>
      </c>
      <c r="L998" s="2">
        <v>37.520000000000003</v>
      </c>
      <c r="M998" s="2">
        <v>960.08</v>
      </c>
      <c r="N998" s="2">
        <v>599.85</v>
      </c>
      <c r="O998" s="2">
        <v>290.23</v>
      </c>
      <c r="P998" s="2">
        <v>37.520000000000003</v>
      </c>
    </row>
    <row r="999" spans="1:16" x14ac:dyDescent="0.25">
      <c r="A999" t="s">
        <v>15</v>
      </c>
      <c r="B999" t="s">
        <v>1293</v>
      </c>
      <c r="C999" t="s">
        <v>58</v>
      </c>
      <c r="D999" t="s">
        <v>1349</v>
      </c>
      <c r="E999" t="s">
        <v>19</v>
      </c>
      <c r="F999" t="s">
        <v>961</v>
      </c>
      <c r="G999" s="1">
        <f>45826</f>
        <v>45826</v>
      </c>
      <c r="H999" t="s">
        <v>56</v>
      </c>
      <c r="I999" s="2">
        <v>622</v>
      </c>
      <c r="J999" s="2">
        <v>247.5</v>
      </c>
      <c r="K999" s="2">
        <v>374.5</v>
      </c>
      <c r="L999" s="2">
        <v>60.21</v>
      </c>
      <c r="M999" s="2">
        <v>622</v>
      </c>
      <c r="N999" s="2">
        <v>247.5</v>
      </c>
      <c r="O999" s="2">
        <v>357.5</v>
      </c>
      <c r="P999" s="2">
        <v>60.21</v>
      </c>
    </row>
    <row r="1000" spans="1:16" x14ac:dyDescent="0.25">
      <c r="A1000" t="s">
        <v>15</v>
      </c>
      <c r="B1000" t="s">
        <v>1293</v>
      </c>
      <c r="C1000" t="s">
        <v>58</v>
      </c>
      <c r="D1000" t="s">
        <v>1350</v>
      </c>
      <c r="E1000" t="s">
        <v>19</v>
      </c>
      <c r="F1000" t="s">
        <v>1165</v>
      </c>
      <c r="G1000" s="1">
        <f>45827</f>
        <v>45827</v>
      </c>
      <c r="H1000" t="s">
        <v>56</v>
      </c>
      <c r="I1000" s="2">
        <v>480.5</v>
      </c>
      <c r="J1000" s="2">
        <v>259.70999999999998</v>
      </c>
      <c r="K1000" s="2">
        <v>220.79</v>
      </c>
      <c r="L1000" s="2">
        <v>45.95</v>
      </c>
      <c r="M1000" s="2">
        <v>480.5</v>
      </c>
      <c r="N1000" s="2">
        <v>259.70999999999998</v>
      </c>
      <c r="O1000" s="2">
        <v>148.79</v>
      </c>
      <c r="P1000" s="2">
        <v>45.95</v>
      </c>
    </row>
    <row r="1001" spans="1:16" x14ac:dyDescent="0.25">
      <c r="A1001" t="s">
        <v>15</v>
      </c>
      <c r="B1001" t="s">
        <v>1293</v>
      </c>
      <c r="C1001" t="s">
        <v>58</v>
      </c>
      <c r="D1001" t="s">
        <v>1351</v>
      </c>
      <c r="E1001" t="s">
        <v>19</v>
      </c>
      <c r="F1001" t="s">
        <v>64</v>
      </c>
      <c r="G1001" s="1">
        <f>45827</f>
        <v>45827</v>
      </c>
      <c r="H1001" t="s">
        <v>56</v>
      </c>
      <c r="I1001" s="2">
        <v>6557.16</v>
      </c>
      <c r="J1001" s="2">
        <v>4553.08</v>
      </c>
      <c r="K1001" s="2">
        <v>2004.08</v>
      </c>
      <c r="L1001" s="2">
        <v>30.56</v>
      </c>
      <c r="M1001" s="2">
        <v>6557.16</v>
      </c>
      <c r="N1001" s="2">
        <v>4553.05</v>
      </c>
      <c r="O1001" s="2">
        <v>1909.11</v>
      </c>
      <c r="P1001" s="2">
        <v>30.56</v>
      </c>
    </row>
    <row r="1002" spans="1:16" x14ac:dyDescent="0.25">
      <c r="A1002" t="s">
        <v>15</v>
      </c>
      <c r="B1002" t="s">
        <v>1293</v>
      </c>
      <c r="C1002" t="s">
        <v>58</v>
      </c>
      <c r="D1002" t="s">
        <v>1352</v>
      </c>
      <c r="E1002" t="s">
        <v>19</v>
      </c>
      <c r="F1002" t="s">
        <v>64</v>
      </c>
      <c r="G1002" s="1">
        <f>45828</f>
        <v>45828</v>
      </c>
      <c r="H1002" t="s">
        <v>56</v>
      </c>
      <c r="I1002" s="2">
        <v>428.19</v>
      </c>
      <c r="J1002" s="2">
        <v>309.77</v>
      </c>
      <c r="K1002" s="2">
        <v>118.42</v>
      </c>
      <c r="L1002" s="2">
        <v>27.65</v>
      </c>
      <c r="M1002" s="2">
        <v>428.19</v>
      </c>
      <c r="N1002" s="2">
        <v>309.77</v>
      </c>
      <c r="O1002" s="2">
        <v>48.42</v>
      </c>
      <c r="P1002" s="2">
        <v>27.66</v>
      </c>
    </row>
    <row r="1003" spans="1:16" x14ac:dyDescent="0.25">
      <c r="A1003" t="s">
        <v>15</v>
      </c>
      <c r="B1003" t="s">
        <v>1293</v>
      </c>
      <c r="C1003" t="s">
        <v>58</v>
      </c>
      <c r="D1003" t="s">
        <v>1353</v>
      </c>
      <c r="E1003" t="s">
        <v>19</v>
      </c>
      <c r="F1003" t="s">
        <v>465</v>
      </c>
      <c r="G1003" s="1">
        <f>45828</f>
        <v>45828</v>
      </c>
      <c r="H1003" t="s">
        <v>56</v>
      </c>
      <c r="I1003" s="2">
        <v>679.95</v>
      </c>
      <c r="J1003" s="2">
        <v>475.75</v>
      </c>
      <c r="K1003" s="2">
        <v>204.2</v>
      </c>
      <c r="L1003" s="2">
        <v>30.03</v>
      </c>
      <c r="M1003" s="2">
        <v>679.95</v>
      </c>
      <c r="N1003" s="2">
        <v>466.44</v>
      </c>
      <c r="O1003" s="2">
        <v>194.38</v>
      </c>
      <c r="P1003" s="2">
        <v>31.4</v>
      </c>
    </row>
    <row r="1004" spans="1:16" x14ac:dyDescent="0.25">
      <c r="A1004" t="s">
        <v>15</v>
      </c>
      <c r="B1004" t="s">
        <v>1293</v>
      </c>
      <c r="C1004" t="s">
        <v>58</v>
      </c>
      <c r="D1004" t="s">
        <v>1354</v>
      </c>
      <c r="E1004" t="s">
        <v>19</v>
      </c>
      <c r="F1004" t="s">
        <v>131</v>
      </c>
      <c r="G1004" s="1">
        <f>45831</f>
        <v>45831</v>
      </c>
      <c r="H1004" t="s">
        <v>56</v>
      </c>
      <c r="I1004" s="2">
        <v>518.64</v>
      </c>
      <c r="J1004" s="2">
        <v>355.77</v>
      </c>
      <c r="K1004" s="2">
        <v>162.87</v>
      </c>
      <c r="L1004" s="2">
        <v>31.4</v>
      </c>
      <c r="M1004" s="2">
        <v>518.64</v>
      </c>
      <c r="N1004" s="2">
        <v>355.07</v>
      </c>
      <c r="O1004" s="2">
        <v>163.57</v>
      </c>
      <c r="P1004" s="2">
        <v>31.54</v>
      </c>
    </row>
    <row r="1005" spans="1:16" x14ac:dyDescent="0.25">
      <c r="A1005" t="s">
        <v>15</v>
      </c>
      <c r="B1005" t="s">
        <v>1293</v>
      </c>
      <c r="C1005" t="s">
        <v>58</v>
      </c>
      <c r="D1005" t="s">
        <v>1355</v>
      </c>
      <c r="E1005" t="s">
        <v>19</v>
      </c>
      <c r="F1005" t="s">
        <v>419</v>
      </c>
      <c r="G1005" s="1">
        <f>45831</f>
        <v>45831</v>
      </c>
      <c r="H1005" t="s">
        <v>56</v>
      </c>
      <c r="I1005" s="2">
        <v>5803.2</v>
      </c>
      <c r="J1005" s="2">
        <v>3961.66</v>
      </c>
      <c r="K1005" s="2">
        <v>1841.54</v>
      </c>
      <c r="L1005" s="2">
        <v>31.73</v>
      </c>
      <c r="M1005" s="2">
        <v>5803.2</v>
      </c>
      <c r="N1005" s="2">
        <v>3961.66</v>
      </c>
      <c r="O1005" s="2">
        <v>1841.54</v>
      </c>
      <c r="P1005" s="2">
        <v>31.73</v>
      </c>
    </row>
    <row r="1006" spans="1:16" x14ac:dyDescent="0.25">
      <c r="A1006" t="s">
        <v>15</v>
      </c>
      <c r="B1006" t="s">
        <v>1293</v>
      </c>
      <c r="C1006" t="s">
        <v>58</v>
      </c>
      <c r="D1006" t="s">
        <v>1356</v>
      </c>
      <c r="E1006" t="s">
        <v>19</v>
      </c>
      <c r="F1006" t="s">
        <v>79</v>
      </c>
      <c r="G1006" s="1">
        <f>45832</f>
        <v>45832</v>
      </c>
      <c r="H1006" t="s">
        <v>56</v>
      </c>
      <c r="I1006" s="2">
        <v>253</v>
      </c>
      <c r="J1006" s="2">
        <v>163</v>
      </c>
      <c r="K1006" s="2">
        <v>90</v>
      </c>
      <c r="L1006" s="2">
        <v>35.57</v>
      </c>
      <c r="M1006" s="2">
        <v>253</v>
      </c>
      <c r="N1006" s="2">
        <v>163</v>
      </c>
      <c r="O1006" s="2">
        <v>81</v>
      </c>
      <c r="P1006" s="2">
        <v>35.57</v>
      </c>
    </row>
    <row r="1007" spans="1:16" x14ac:dyDescent="0.25">
      <c r="A1007" t="s">
        <v>15</v>
      </c>
      <c r="B1007" t="s">
        <v>1293</v>
      </c>
      <c r="C1007" t="s">
        <v>58</v>
      </c>
      <c r="D1007" t="s">
        <v>1357</v>
      </c>
      <c r="E1007" t="s">
        <v>19</v>
      </c>
      <c r="F1007" t="s">
        <v>144</v>
      </c>
      <c r="G1007" s="1">
        <f>45832</f>
        <v>45832</v>
      </c>
      <c r="H1007" t="s">
        <v>56</v>
      </c>
      <c r="I1007" s="2">
        <v>272.39999999999998</v>
      </c>
      <c r="J1007" s="2">
        <v>179.24</v>
      </c>
      <c r="K1007" s="2">
        <v>93.16</v>
      </c>
      <c r="L1007" s="2">
        <v>34.200000000000003</v>
      </c>
      <c r="M1007" s="2">
        <v>272.39999999999998</v>
      </c>
      <c r="N1007" s="2">
        <v>179.24</v>
      </c>
      <c r="O1007" s="2">
        <v>57.16</v>
      </c>
      <c r="P1007" s="2">
        <v>34.200000000000003</v>
      </c>
    </row>
    <row r="1008" spans="1:16" x14ac:dyDescent="0.25">
      <c r="A1008" t="s">
        <v>15</v>
      </c>
      <c r="B1008" t="s">
        <v>1293</v>
      </c>
      <c r="C1008" t="s">
        <v>58</v>
      </c>
      <c r="D1008" t="s">
        <v>1358</v>
      </c>
      <c r="E1008" t="s">
        <v>19</v>
      </c>
      <c r="F1008" t="s">
        <v>131</v>
      </c>
      <c r="G1008" s="1">
        <f>45832</f>
        <v>45832</v>
      </c>
      <c r="H1008" t="s">
        <v>56</v>
      </c>
      <c r="I1008" s="2">
        <v>374.9</v>
      </c>
      <c r="J1008" s="2">
        <v>186.92</v>
      </c>
      <c r="K1008" s="2">
        <v>187.98</v>
      </c>
      <c r="L1008" s="2">
        <v>50.14</v>
      </c>
      <c r="M1008" s="2">
        <v>374.9</v>
      </c>
      <c r="N1008" s="2">
        <v>186.92</v>
      </c>
      <c r="O1008" s="2">
        <v>175.13</v>
      </c>
      <c r="P1008" s="2">
        <v>50.14</v>
      </c>
    </row>
    <row r="1009" spans="1:16" x14ac:dyDescent="0.25">
      <c r="A1009" t="s">
        <v>15</v>
      </c>
      <c r="B1009" t="s">
        <v>1293</v>
      </c>
      <c r="C1009" t="s">
        <v>58</v>
      </c>
      <c r="D1009" t="s">
        <v>1359</v>
      </c>
      <c r="E1009" t="s">
        <v>19</v>
      </c>
      <c r="F1009" t="s">
        <v>131</v>
      </c>
      <c r="G1009" s="1">
        <f>45832</f>
        <v>45832</v>
      </c>
      <c r="H1009" t="s">
        <v>56</v>
      </c>
      <c r="I1009" s="2">
        <v>6297.36</v>
      </c>
      <c r="J1009" s="2">
        <v>4254.67</v>
      </c>
      <c r="K1009" s="2">
        <v>2042.69</v>
      </c>
      <c r="L1009" s="2">
        <v>32.44</v>
      </c>
      <c r="M1009" s="2">
        <v>6297.36</v>
      </c>
      <c r="N1009" s="2">
        <v>4186.82</v>
      </c>
      <c r="O1009" s="2">
        <v>2080.54</v>
      </c>
      <c r="P1009" s="2">
        <v>33.51</v>
      </c>
    </row>
    <row r="1010" spans="1:16" x14ac:dyDescent="0.25">
      <c r="A1010" t="s">
        <v>15</v>
      </c>
      <c r="B1010" t="s">
        <v>1293</v>
      </c>
      <c r="C1010" t="s">
        <v>58</v>
      </c>
      <c r="D1010" t="s">
        <v>1360</v>
      </c>
      <c r="E1010" t="s">
        <v>19</v>
      </c>
      <c r="F1010" t="s">
        <v>77</v>
      </c>
      <c r="G1010" s="1">
        <f>45832</f>
        <v>45832</v>
      </c>
      <c r="H1010" t="s">
        <v>56</v>
      </c>
      <c r="I1010" s="2">
        <v>3026.1</v>
      </c>
      <c r="J1010" s="2">
        <v>2175.9499999999998</v>
      </c>
      <c r="K1010" s="2">
        <v>850.15</v>
      </c>
      <c r="L1010" s="2">
        <v>28.09</v>
      </c>
      <c r="M1010" s="2">
        <v>3026.1</v>
      </c>
      <c r="N1010" s="2">
        <v>2175.9499999999998</v>
      </c>
      <c r="O1010" s="2">
        <v>788.15</v>
      </c>
      <c r="P1010" s="2">
        <v>28.09</v>
      </c>
    </row>
    <row r="1011" spans="1:16" x14ac:dyDescent="0.25">
      <c r="A1011" t="s">
        <v>15</v>
      </c>
      <c r="B1011" t="s">
        <v>1293</v>
      </c>
      <c r="C1011" t="s">
        <v>58</v>
      </c>
      <c r="D1011" t="s">
        <v>1361</v>
      </c>
      <c r="E1011" t="s">
        <v>19</v>
      </c>
      <c r="F1011" t="s">
        <v>408</v>
      </c>
      <c r="G1011" s="1">
        <f>45832</f>
        <v>45832</v>
      </c>
      <c r="H1011" t="s">
        <v>56</v>
      </c>
      <c r="I1011" s="2">
        <v>2019.56</v>
      </c>
      <c r="J1011" s="2">
        <v>1384.61</v>
      </c>
      <c r="K1011" s="2">
        <v>634.96</v>
      </c>
      <c r="L1011" s="2">
        <v>31.44</v>
      </c>
      <c r="M1011" s="2">
        <v>2019.56</v>
      </c>
      <c r="N1011" s="2">
        <v>1329.71</v>
      </c>
      <c r="O1011" s="2">
        <v>656.25</v>
      </c>
      <c r="P1011" s="2">
        <v>34.159999999999997</v>
      </c>
    </row>
    <row r="1012" spans="1:16" x14ac:dyDescent="0.25">
      <c r="A1012" t="s">
        <v>15</v>
      </c>
      <c r="B1012" t="s">
        <v>1293</v>
      </c>
      <c r="C1012" t="s">
        <v>58</v>
      </c>
      <c r="D1012" t="s">
        <v>1362</v>
      </c>
      <c r="E1012" t="s">
        <v>19</v>
      </c>
      <c r="F1012" t="s">
        <v>93</v>
      </c>
      <c r="G1012" s="1">
        <f>45833</f>
        <v>45833</v>
      </c>
      <c r="H1012" t="s">
        <v>56</v>
      </c>
      <c r="I1012" s="2">
        <v>3205.6</v>
      </c>
      <c r="J1012" s="2">
        <v>2187.4</v>
      </c>
      <c r="K1012" s="2">
        <v>1018.2</v>
      </c>
      <c r="L1012" s="2">
        <v>31.76</v>
      </c>
      <c r="M1012" s="2">
        <v>3205.6</v>
      </c>
      <c r="N1012" s="2">
        <v>2187.4</v>
      </c>
      <c r="O1012" s="2">
        <v>820.2</v>
      </c>
      <c r="P1012" s="2">
        <v>31.76</v>
      </c>
    </row>
    <row r="1013" spans="1:16" x14ac:dyDescent="0.25">
      <c r="A1013" t="s">
        <v>15</v>
      </c>
      <c r="B1013" t="s">
        <v>1293</v>
      </c>
      <c r="C1013" t="s">
        <v>58</v>
      </c>
      <c r="D1013" t="s">
        <v>1363</v>
      </c>
      <c r="E1013" t="s">
        <v>19</v>
      </c>
      <c r="F1013" t="s">
        <v>480</v>
      </c>
      <c r="G1013" s="1">
        <f>45834</f>
        <v>45834</v>
      </c>
      <c r="H1013" t="s">
        <v>56</v>
      </c>
      <c r="I1013" s="2">
        <v>1897.72</v>
      </c>
      <c r="J1013" s="2">
        <v>1322</v>
      </c>
      <c r="K1013" s="2">
        <v>575.72</v>
      </c>
      <c r="L1013" s="2">
        <v>30.34</v>
      </c>
      <c r="M1013" s="2">
        <v>1897.72</v>
      </c>
      <c r="N1013" s="2">
        <v>1322</v>
      </c>
      <c r="O1013" s="2">
        <v>459.72</v>
      </c>
      <c r="P1013" s="2">
        <v>30.34</v>
      </c>
    </row>
    <row r="1014" spans="1:16" x14ac:dyDescent="0.25">
      <c r="A1014" t="s">
        <v>15</v>
      </c>
      <c r="B1014" t="s">
        <v>1293</v>
      </c>
      <c r="C1014" t="s">
        <v>58</v>
      </c>
      <c r="D1014" t="s">
        <v>1364</v>
      </c>
      <c r="E1014" t="s">
        <v>19</v>
      </c>
      <c r="F1014" t="s">
        <v>728</v>
      </c>
      <c r="G1014" s="1">
        <f>45834</f>
        <v>45834</v>
      </c>
      <c r="H1014" t="s">
        <v>56</v>
      </c>
      <c r="I1014" s="2">
        <v>354</v>
      </c>
      <c r="J1014" s="2">
        <v>258</v>
      </c>
      <c r="K1014" s="2">
        <v>96</v>
      </c>
      <c r="L1014" s="2">
        <v>27.12</v>
      </c>
      <c r="M1014" s="2">
        <v>354</v>
      </c>
      <c r="N1014" s="2">
        <v>258</v>
      </c>
      <c r="O1014" s="2">
        <v>87</v>
      </c>
      <c r="P1014" s="2">
        <v>27.12</v>
      </c>
    </row>
    <row r="1015" spans="1:16" x14ac:dyDescent="0.25">
      <c r="A1015" t="s">
        <v>15</v>
      </c>
      <c r="B1015" t="s">
        <v>1293</v>
      </c>
      <c r="C1015" t="s">
        <v>58</v>
      </c>
      <c r="D1015" t="s">
        <v>1365</v>
      </c>
      <c r="E1015" t="s">
        <v>47</v>
      </c>
      <c r="F1015" t="s">
        <v>69</v>
      </c>
      <c r="G1015" s="1">
        <f>45834</f>
        <v>45834</v>
      </c>
      <c r="H1015" t="s">
        <v>70</v>
      </c>
      <c r="I1015" s="2">
        <v>0</v>
      </c>
      <c r="J1015" s="2">
        <v>0</v>
      </c>
      <c r="K1015" s="2">
        <v>0</v>
      </c>
      <c r="L1015" s="2">
        <v>0</v>
      </c>
      <c r="M1015" s="2">
        <v>135.16</v>
      </c>
      <c r="N1015" s="2">
        <v>109.57</v>
      </c>
      <c r="O1015" s="2">
        <v>25.59</v>
      </c>
      <c r="P1015" s="2">
        <v>18.93</v>
      </c>
    </row>
    <row r="1016" spans="1:16" x14ac:dyDescent="0.25">
      <c r="A1016" t="s">
        <v>15</v>
      </c>
      <c r="B1016" t="s">
        <v>1293</v>
      </c>
      <c r="C1016" t="s">
        <v>58</v>
      </c>
      <c r="D1016" t="s">
        <v>1366</v>
      </c>
      <c r="E1016" t="s">
        <v>19</v>
      </c>
      <c r="F1016" t="s">
        <v>67</v>
      </c>
      <c r="G1016" s="1">
        <f>45834</f>
        <v>45834</v>
      </c>
      <c r="H1016" t="s">
        <v>56</v>
      </c>
      <c r="I1016" s="2">
        <v>179.78</v>
      </c>
      <c r="J1016" s="2">
        <v>124.97</v>
      </c>
      <c r="K1016" s="2">
        <v>54.81</v>
      </c>
      <c r="L1016" s="2">
        <v>30.49</v>
      </c>
      <c r="M1016" s="2">
        <v>179.78</v>
      </c>
      <c r="N1016" s="2">
        <v>122.6</v>
      </c>
      <c r="O1016" s="2">
        <v>48.18</v>
      </c>
      <c r="P1016" s="2">
        <v>31.81</v>
      </c>
    </row>
    <row r="1017" spans="1:16" x14ac:dyDescent="0.25">
      <c r="A1017" t="s">
        <v>15</v>
      </c>
      <c r="B1017" t="s">
        <v>1293</v>
      </c>
      <c r="C1017" t="s">
        <v>58</v>
      </c>
      <c r="D1017" t="s">
        <v>1367</v>
      </c>
      <c r="E1017" t="s">
        <v>47</v>
      </c>
      <c r="F1017" t="s">
        <v>69</v>
      </c>
      <c r="G1017" s="1">
        <f>45835</f>
        <v>45835</v>
      </c>
      <c r="H1017" t="s">
        <v>70</v>
      </c>
      <c r="I1017" s="2">
        <v>0</v>
      </c>
      <c r="J1017" s="2">
        <v>0</v>
      </c>
      <c r="K1017" s="2">
        <v>0</v>
      </c>
      <c r="L1017" s="2">
        <v>0</v>
      </c>
      <c r="M1017" s="2">
        <v>243.82</v>
      </c>
      <c r="N1017" s="2">
        <v>204.62</v>
      </c>
      <c r="O1017" s="2">
        <v>39.200000000000003</v>
      </c>
      <c r="P1017" s="2">
        <v>16.079999999999998</v>
      </c>
    </row>
    <row r="1018" spans="1:16" x14ac:dyDescent="0.25">
      <c r="A1018" t="s">
        <v>15</v>
      </c>
      <c r="B1018" t="s">
        <v>1293</v>
      </c>
      <c r="C1018" t="s">
        <v>58</v>
      </c>
      <c r="D1018" t="s">
        <v>1368</v>
      </c>
      <c r="E1018" t="s">
        <v>19</v>
      </c>
      <c r="F1018" t="s">
        <v>144</v>
      </c>
      <c r="G1018" s="1">
        <f>45835</f>
        <v>45835</v>
      </c>
      <c r="H1018" t="s">
        <v>56</v>
      </c>
      <c r="I1018" s="2">
        <v>6100</v>
      </c>
      <c r="J1018" s="2">
        <v>4248.8100000000004</v>
      </c>
      <c r="K1018" s="2">
        <v>1851.19</v>
      </c>
      <c r="L1018" s="2">
        <v>30.35</v>
      </c>
      <c r="M1018" s="2">
        <v>6100</v>
      </c>
      <c r="N1018" s="2">
        <v>4258.6099999999997</v>
      </c>
      <c r="O1018" s="2">
        <v>1774.39</v>
      </c>
      <c r="P1018" s="2">
        <v>30.19</v>
      </c>
    </row>
    <row r="1019" spans="1:16" x14ac:dyDescent="0.25">
      <c r="A1019" t="s">
        <v>15</v>
      </c>
      <c r="B1019" t="s">
        <v>1293</v>
      </c>
      <c r="C1019" t="s">
        <v>58</v>
      </c>
      <c r="D1019" t="s">
        <v>1369</v>
      </c>
      <c r="E1019" t="s">
        <v>19</v>
      </c>
      <c r="F1019" t="s">
        <v>408</v>
      </c>
      <c r="G1019" s="1">
        <f>45838</f>
        <v>45838</v>
      </c>
      <c r="H1019" t="s">
        <v>56</v>
      </c>
      <c r="I1019" s="2">
        <v>11</v>
      </c>
      <c r="J1019" s="2">
        <v>2.5499999999999998</v>
      </c>
      <c r="K1019" s="2">
        <v>8.4499999999999993</v>
      </c>
      <c r="L1019" s="2">
        <v>76.819999999999993</v>
      </c>
      <c r="M1019" s="2">
        <v>11</v>
      </c>
      <c r="N1019" s="2">
        <v>2.5499999999999998</v>
      </c>
      <c r="O1019" s="2">
        <v>8.4499999999999993</v>
      </c>
      <c r="P1019" s="2">
        <v>76.819999999999993</v>
      </c>
    </row>
    <row r="1020" spans="1:16" x14ac:dyDescent="0.25">
      <c r="A1020" t="s">
        <v>15</v>
      </c>
      <c r="B1020" t="s">
        <v>1293</v>
      </c>
      <c r="C1020" t="s">
        <v>58</v>
      </c>
      <c r="D1020" t="s">
        <v>1370</v>
      </c>
      <c r="E1020" t="s">
        <v>19</v>
      </c>
      <c r="F1020" t="s">
        <v>1165</v>
      </c>
      <c r="G1020" s="1">
        <f>45838</f>
        <v>45838</v>
      </c>
      <c r="H1020" t="s">
        <v>56</v>
      </c>
      <c r="I1020" s="2">
        <v>431.4</v>
      </c>
      <c r="J1020" s="2">
        <v>287.35000000000002</v>
      </c>
      <c r="K1020" s="2">
        <v>144.05000000000001</v>
      </c>
      <c r="L1020" s="2">
        <v>33.39</v>
      </c>
      <c r="M1020" s="2">
        <v>431.4</v>
      </c>
      <c r="N1020" s="2">
        <v>287.35000000000002</v>
      </c>
      <c r="O1020" s="2">
        <v>135.05000000000001</v>
      </c>
      <c r="P1020" s="2">
        <v>33.39</v>
      </c>
    </row>
    <row r="1021" spans="1:16" x14ac:dyDescent="0.25">
      <c r="A1021" t="s">
        <v>15</v>
      </c>
      <c r="B1021" t="s">
        <v>1293</v>
      </c>
      <c r="C1021" t="s">
        <v>58</v>
      </c>
      <c r="D1021" t="s">
        <v>1371</v>
      </c>
      <c r="E1021" t="s">
        <v>19</v>
      </c>
      <c r="F1021" t="s">
        <v>425</v>
      </c>
      <c r="G1021" s="1">
        <f>45838</f>
        <v>45838</v>
      </c>
      <c r="H1021" t="s">
        <v>56</v>
      </c>
      <c r="I1021" s="2">
        <v>2684</v>
      </c>
      <c r="J1021" s="2">
        <v>1951.85</v>
      </c>
      <c r="K1021" s="2">
        <v>732.15</v>
      </c>
      <c r="L1021" s="2">
        <v>27.28</v>
      </c>
      <c r="M1021" s="2">
        <v>2684</v>
      </c>
      <c r="N1021" s="2">
        <v>1951.85</v>
      </c>
      <c r="O1021" s="2">
        <v>720.15</v>
      </c>
      <c r="P1021" s="2">
        <v>27.28</v>
      </c>
    </row>
    <row r="1022" spans="1:16" x14ac:dyDescent="0.25">
      <c r="A1022" t="s">
        <v>15</v>
      </c>
      <c r="B1022" t="s">
        <v>1293</v>
      </c>
      <c r="C1022" t="s">
        <v>58</v>
      </c>
      <c r="D1022" t="s">
        <v>1372</v>
      </c>
      <c r="E1022" t="s">
        <v>19</v>
      </c>
      <c r="F1022" t="s">
        <v>713</v>
      </c>
      <c r="G1022" s="1">
        <f>45838</f>
        <v>45838</v>
      </c>
      <c r="H1022" t="s">
        <v>56</v>
      </c>
      <c r="I1022" s="2">
        <v>404.8</v>
      </c>
      <c r="J1022" s="2">
        <v>268.87</v>
      </c>
      <c r="K1022" s="2">
        <v>135.93</v>
      </c>
      <c r="L1022" s="2">
        <v>33.58</v>
      </c>
      <c r="M1022" s="2">
        <v>404.8</v>
      </c>
      <c r="N1022" s="2">
        <v>268.87</v>
      </c>
      <c r="O1022" s="2">
        <v>96.93</v>
      </c>
      <c r="P1022" s="2">
        <v>33.58</v>
      </c>
    </row>
    <row r="1023" spans="1:16" x14ac:dyDescent="0.25">
      <c r="A1023" t="s">
        <v>15</v>
      </c>
      <c r="B1023" t="s">
        <v>1293</v>
      </c>
      <c r="C1023" t="s">
        <v>58</v>
      </c>
      <c r="D1023" t="s">
        <v>1373</v>
      </c>
      <c r="E1023" t="s">
        <v>19</v>
      </c>
      <c r="F1023" t="s">
        <v>131</v>
      </c>
      <c r="G1023" s="1">
        <f>45838</f>
        <v>45838</v>
      </c>
      <c r="H1023" t="s">
        <v>56</v>
      </c>
      <c r="I1023" s="2">
        <v>519</v>
      </c>
      <c r="J1023" s="2">
        <v>159</v>
      </c>
      <c r="K1023" s="2">
        <v>360</v>
      </c>
      <c r="L1023" s="2">
        <v>69.36</v>
      </c>
      <c r="M1023" s="2">
        <v>519</v>
      </c>
      <c r="N1023" s="2">
        <v>159</v>
      </c>
      <c r="O1023" s="2">
        <v>344</v>
      </c>
      <c r="P1023" s="2">
        <v>69.36</v>
      </c>
    </row>
    <row r="1024" spans="1:16" x14ac:dyDescent="0.25">
      <c r="A1024" t="s">
        <v>15</v>
      </c>
      <c r="B1024" t="s">
        <v>1293</v>
      </c>
      <c r="C1024" t="s">
        <v>58</v>
      </c>
      <c r="D1024" t="s">
        <v>1374</v>
      </c>
      <c r="E1024" t="s">
        <v>19</v>
      </c>
      <c r="F1024" t="s">
        <v>1375</v>
      </c>
      <c r="G1024" s="1">
        <f>45838</f>
        <v>45838</v>
      </c>
      <c r="H1024" t="s">
        <v>56</v>
      </c>
      <c r="I1024" s="2">
        <v>582.79999999999995</v>
      </c>
      <c r="J1024" s="2">
        <v>373.16</v>
      </c>
      <c r="K1024" s="2">
        <v>209.64</v>
      </c>
      <c r="L1024" s="2">
        <v>35.97</v>
      </c>
      <c r="M1024" s="2">
        <v>582.79999999999995</v>
      </c>
      <c r="N1024" s="2">
        <v>373.18</v>
      </c>
      <c r="O1024" s="2">
        <v>172.62</v>
      </c>
      <c r="P1024" s="2">
        <v>35.97</v>
      </c>
    </row>
    <row r="1025" spans="1:16" x14ac:dyDescent="0.25">
      <c r="A1025" t="s">
        <v>15</v>
      </c>
      <c r="B1025" t="s">
        <v>1293</v>
      </c>
      <c r="C1025" t="s">
        <v>58</v>
      </c>
      <c r="D1025" t="s">
        <v>1376</v>
      </c>
      <c r="E1025" t="s">
        <v>47</v>
      </c>
      <c r="F1025" t="s">
        <v>702</v>
      </c>
      <c r="G1025" s="1">
        <f>45813</f>
        <v>45813</v>
      </c>
      <c r="H1025" t="s">
        <v>51</v>
      </c>
      <c r="I1025" s="2">
        <v>210</v>
      </c>
      <c r="J1025" s="2">
        <v>64</v>
      </c>
      <c r="K1025" s="2">
        <v>146</v>
      </c>
      <c r="L1025" s="2">
        <v>69.52</v>
      </c>
      <c r="M1025" s="2">
        <v>210</v>
      </c>
      <c r="N1025" s="2">
        <v>64</v>
      </c>
      <c r="O1025" s="2">
        <v>146</v>
      </c>
      <c r="P1025" s="2">
        <v>69.52</v>
      </c>
    </row>
    <row r="1026" spans="1:16" x14ac:dyDescent="0.25">
      <c r="A1026" t="s">
        <v>15</v>
      </c>
      <c r="B1026" t="s">
        <v>1293</v>
      </c>
      <c r="C1026" t="s">
        <v>58</v>
      </c>
      <c r="D1026" t="s">
        <v>1377</v>
      </c>
      <c r="E1026" t="s">
        <v>47</v>
      </c>
      <c r="F1026" t="s">
        <v>86</v>
      </c>
      <c r="G1026" s="1">
        <f>45834</f>
        <v>45834</v>
      </c>
      <c r="H1026" t="s">
        <v>56</v>
      </c>
      <c r="I1026" s="2">
        <v>5585</v>
      </c>
      <c r="J1026" s="2">
        <v>3427.74</v>
      </c>
      <c r="K1026" s="2">
        <v>2157.2600000000002</v>
      </c>
      <c r="L1026" s="2">
        <v>38.630000000000003</v>
      </c>
      <c r="M1026" s="2">
        <v>5585</v>
      </c>
      <c r="N1026" s="2">
        <v>3427.74</v>
      </c>
      <c r="O1026" s="2">
        <v>876.26</v>
      </c>
      <c r="P1026" s="2">
        <v>38.630000000000003</v>
      </c>
    </row>
    <row r="1027" spans="1:16" x14ac:dyDescent="0.25">
      <c r="A1027" t="s">
        <v>15</v>
      </c>
      <c r="B1027" t="s">
        <v>1293</v>
      </c>
      <c r="C1027" t="s">
        <v>58</v>
      </c>
      <c r="D1027" t="s">
        <v>1378</v>
      </c>
      <c r="E1027" t="s">
        <v>19</v>
      </c>
      <c r="F1027" t="s">
        <v>439</v>
      </c>
      <c r="G1027" s="1">
        <f>45824</f>
        <v>45824</v>
      </c>
      <c r="H1027" t="s">
        <v>56</v>
      </c>
      <c r="I1027" s="2">
        <v>1256.0999999999999</v>
      </c>
      <c r="J1027" s="2">
        <v>393.34</v>
      </c>
      <c r="K1027" s="2">
        <v>862.76</v>
      </c>
      <c r="L1027" s="2">
        <v>68.69</v>
      </c>
      <c r="M1027" s="2">
        <v>1256.0999999999999</v>
      </c>
      <c r="N1027" s="2">
        <v>596.54</v>
      </c>
      <c r="O1027" s="2">
        <v>659.56</v>
      </c>
      <c r="P1027" s="2">
        <v>52.51</v>
      </c>
    </row>
    <row r="1028" spans="1:16" x14ac:dyDescent="0.25">
      <c r="A1028" t="s">
        <v>15</v>
      </c>
      <c r="B1028" t="s">
        <v>1293</v>
      </c>
      <c r="C1028" t="s">
        <v>58</v>
      </c>
      <c r="D1028" t="s">
        <v>1379</v>
      </c>
      <c r="E1028" t="s">
        <v>19</v>
      </c>
      <c r="F1028" t="s">
        <v>419</v>
      </c>
      <c r="G1028" s="1">
        <f>45828</f>
        <v>45828</v>
      </c>
      <c r="H1028" t="s">
        <v>56</v>
      </c>
      <c r="I1028" s="2">
        <v>335.8</v>
      </c>
      <c r="J1028" s="2">
        <v>216.14</v>
      </c>
      <c r="K1028" s="2">
        <v>119.66</v>
      </c>
      <c r="L1028" s="2">
        <v>35.630000000000003</v>
      </c>
      <c r="M1028" s="2">
        <v>335.8</v>
      </c>
      <c r="N1028" s="2">
        <v>216.14</v>
      </c>
      <c r="O1028" s="2">
        <v>37.520000000000003</v>
      </c>
      <c r="P1028" s="2">
        <v>35.630000000000003</v>
      </c>
    </row>
    <row r="1029" spans="1:16" x14ac:dyDescent="0.25">
      <c r="A1029" t="s">
        <v>15</v>
      </c>
      <c r="B1029" t="s">
        <v>1293</v>
      </c>
      <c r="C1029" t="s">
        <v>58</v>
      </c>
      <c r="D1029" t="s">
        <v>1380</v>
      </c>
      <c r="E1029" t="s">
        <v>19</v>
      </c>
      <c r="F1029" t="s">
        <v>419</v>
      </c>
      <c r="G1029" s="1">
        <f>45832</f>
        <v>45832</v>
      </c>
      <c r="H1029" t="s">
        <v>56</v>
      </c>
      <c r="I1029" s="2">
        <v>866.05</v>
      </c>
      <c r="J1029" s="2">
        <v>528.88</v>
      </c>
      <c r="K1029" s="2">
        <v>337.17</v>
      </c>
      <c r="L1029" s="2">
        <v>38.93</v>
      </c>
      <c r="M1029" s="2">
        <v>866.05</v>
      </c>
      <c r="N1029" s="2">
        <v>987.73</v>
      </c>
      <c r="O1029" s="2">
        <v>-121.68</v>
      </c>
      <c r="P1029" s="2">
        <v>-14.05</v>
      </c>
    </row>
    <row r="1030" spans="1:16" x14ac:dyDescent="0.25">
      <c r="A1030" t="s">
        <v>15</v>
      </c>
      <c r="B1030" t="s">
        <v>1293</v>
      </c>
      <c r="C1030" t="s">
        <v>187</v>
      </c>
      <c r="D1030" t="s">
        <v>1381</v>
      </c>
      <c r="E1030" t="s">
        <v>19</v>
      </c>
      <c r="F1030" t="s">
        <v>1382</v>
      </c>
      <c r="G1030" s="1">
        <f>45810</f>
        <v>45810</v>
      </c>
      <c r="H1030" t="s">
        <v>51</v>
      </c>
      <c r="I1030" s="2">
        <v>216.5</v>
      </c>
      <c r="J1030" s="2">
        <v>136.93</v>
      </c>
      <c r="K1030" s="2">
        <v>79.569999999999993</v>
      </c>
      <c r="L1030" s="2">
        <v>36.75</v>
      </c>
      <c r="M1030" s="2">
        <v>216.5</v>
      </c>
      <c r="N1030" s="2">
        <v>136.93</v>
      </c>
      <c r="O1030" s="2">
        <v>69.430000000000007</v>
      </c>
      <c r="P1030" s="2">
        <v>36.75</v>
      </c>
    </row>
    <row r="1031" spans="1:16" x14ac:dyDescent="0.25">
      <c r="A1031" t="s">
        <v>15</v>
      </c>
      <c r="B1031" t="s">
        <v>1293</v>
      </c>
      <c r="C1031" t="s">
        <v>187</v>
      </c>
      <c r="D1031" t="s">
        <v>1383</v>
      </c>
      <c r="E1031" t="s">
        <v>19</v>
      </c>
      <c r="F1031" t="s">
        <v>191</v>
      </c>
      <c r="G1031" s="1">
        <f>45811</f>
        <v>45811</v>
      </c>
      <c r="H1031" t="s">
        <v>51</v>
      </c>
      <c r="I1031" s="2">
        <v>2193.1999999999998</v>
      </c>
      <c r="J1031" s="2">
        <v>1388.67</v>
      </c>
      <c r="K1031" s="2">
        <v>804.53</v>
      </c>
      <c r="L1031" s="2">
        <v>36.68</v>
      </c>
      <c r="M1031" s="2">
        <v>2193.1999999999998</v>
      </c>
      <c r="N1031" s="2">
        <v>1408.12</v>
      </c>
      <c r="O1031" s="2">
        <v>695.08</v>
      </c>
      <c r="P1031" s="2">
        <v>35.799999999999997</v>
      </c>
    </row>
    <row r="1032" spans="1:16" x14ac:dyDescent="0.25">
      <c r="A1032" t="s">
        <v>15</v>
      </c>
      <c r="B1032" t="s">
        <v>1293</v>
      </c>
      <c r="C1032" t="s">
        <v>187</v>
      </c>
      <c r="D1032" t="s">
        <v>1384</v>
      </c>
      <c r="E1032" t="s">
        <v>19</v>
      </c>
      <c r="F1032" t="s">
        <v>217</v>
      </c>
      <c r="G1032" s="1">
        <f>45812</f>
        <v>45812</v>
      </c>
      <c r="H1032" t="s">
        <v>51</v>
      </c>
      <c r="I1032" s="2">
        <v>197.3</v>
      </c>
      <c r="J1032" s="2">
        <v>116.18</v>
      </c>
      <c r="K1032" s="2">
        <v>81.12</v>
      </c>
      <c r="L1032" s="2">
        <v>41.12</v>
      </c>
      <c r="M1032" s="2">
        <v>197.3</v>
      </c>
      <c r="N1032" s="2">
        <v>116.18</v>
      </c>
      <c r="O1032" s="2">
        <v>72.12</v>
      </c>
      <c r="P1032" s="2">
        <v>41.12</v>
      </c>
    </row>
    <row r="1033" spans="1:16" x14ac:dyDescent="0.25">
      <c r="A1033" t="s">
        <v>15</v>
      </c>
      <c r="B1033" t="s">
        <v>1293</v>
      </c>
      <c r="C1033" t="s">
        <v>187</v>
      </c>
      <c r="D1033" t="s">
        <v>1385</v>
      </c>
      <c r="E1033" t="s">
        <v>19</v>
      </c>
      <c r="F1033" t="s">
        <v>202</v>
      </c>
      <c r="G1033" s="1">
        <f>45813</f>
        <v>45813</v>
      </c>
      <c r="H1033" t="s">
        <v>51</v>
      </c>
      <c r="I1033" s="2">
        <v>285</v>
      </c>
      <c r="J1033" s="2">
        <v>127.46</v>
      </c>
      <c r="K1033" s="2">
        <v>157.54</v>
      </c>
      <c r="L1033" s="2">
        <v>55.28</v>
      </c>
      <c r="M1033" s="2">
        <v>285</v>
      </c>
      <c r="N1033" s="2">
        <v>127.46</v>
      </c>
      <c r="O1033" s="2">
        <v>147.54</v>
      </c>
      <c r="P1033" s="2">
        <v>55.28</v>
      </c>
    </row>
    <row r="1034" spans="1:16" x14ac:dyDescent="0.25">
      <c r="A1034" t="s">
        <v>15</v>
      </c>
      <c r="B1034" t="s">
        <v>1293</v>
      </c>
      <c r="C1034" t="s">
        <v>187</v>
      </c>
      <c r="D1034" t="s">
        <v>1386</v>
      </c>
      <c r="E1034" t="s">
        <v>19</v>
      </c>
      <c r="F1034" t="s">
        <v>189</v>
      </c>
      <c r="G1034" s="1">
        <f>45813</f>
        <v>45813</v>
      </c>
      <c r="H1034" t="s">
        <v>51</v>
      </c>
      <c r="I1034" s="2">
        <v>4387.3999999999996</v>
      </c>
      <c r="J1034" s="2">
        <v>3067.9</v>
      </c>
      <c r="K1034" s="2">
        <v>1319.5</v>
      </c>
      <c r="L1034" s="2">
        <v>30.07</v>
      </c>
      <c r="M1034" s="2">
        <v>4387.3999999999996</v>
      </c>
      <c r="N1034" s="2">
        <v>3067.9</v>
      </c>
      <c r="O1034" s="2">
        <v>1281.5</v>
      </c>
      <c r="P1034" s="2">
        <v>30.07</v>
      </c>
    </row>
    <row r="1035" spans="1:16" x14ac:dyDescent="0.25">
      <c r="A1035" t="s">
        <v>15</v>
      </c>
      <c r="B1035" t="s">
        <v>1293</v>
      </c>
      <c r="C1035" t="s">
        <v>187</v>
      </c>
      <c r="D1035" t="s">
        <v>1387</v>
      </c>
      <c r="E1035" t="s">
        <v>19</v>
      </c>
      <c r="F1035" t="s">
        <v>507</v>
      </c>
      <c r="G1035" s="1">
        <f>45811</f>
        <v>45811</v>
      </c>
      <c r="H1035" t="s">
        <v>51</v>
      </c>
      <c r="I1035" s="2">
        <v>971.5</v>
      </c>
      <c r="J1035" s="2">
        <v>600.04</v>
      </c>
      <c r="K1035" s="2">
        <v>371.46</v>
      </c>
      <c r="L1035" s="2">
        <v>38.24</v>
      </c>
      <c r="M1035" s="2">
        <v>971.5</v>
      </c>
      <c r="N1035" s="2">
        <v>600.04</v>
      </c>
      <c r="O1035" s="2">
        <v>313.45999999999998</v>
      </c>
      <c r="P1035" s="2">
        <v>38.24</v>
      </c>
    </row>
    <row r="1036" spans="1:16" x14ac:dyDescent="0.25">
      <c r="A1036" t="s">
        <v>15</v>
      </c>
      <c r="B1036" t="s">
        <v>1293</v>
      </c>
      <c r="C1036" t="s">
        <v>187</v>
      </c>
      <c r="D1036" t="s">
        <v>1388</v>
      </c>
      <c r="E1036" t="s">
        <v>19</v>
      </c>
      <c r="F1036" t="s">
        <v>1033</v>
      </c>
      <c r="G1036" s="1">
        <f>45813</f>
        <v>45813</v>
      </c>
      <c r="H1036" t="s">
        <v>51</v>
      </c>
      <c r="I1036" s="2">
        <v>3924.15</v>
      </c>
      <c r="J1036" s="2">
        <v>2658.88</v>
      </c>
      <c r="K1036" s="2">
        <v>1265.27</v>
      </c>
      <c r="L1036" s="2">
        <v>32.24</v>
      </c>
      <c r="M1036" s="2">
        <v>3924.15</v>
      </c>
      <c r="N1036" s="2">
        <v>2658.88</v>
      </c>
      <c r="O1036" s="2">
        <v>680.27</v>
      </c>
      <c r="P1036" s="2">
        <v>32.24</v>
      </c>
    </row>
    <row r="1037" spans="1:16" x14ac:dyDescent="0.25">
      <c r="A1037" t="s">
        <v>15</v>
      </c>
      <c r="B1037" t="s">
        <v>1293</v>
      </c>
      <c r="C1037" t="s">
        <v>187</v>
      </c>
      <c r="D1037" t="s">
        <v>1389</v>
      </c>
      <c r="E1037" t="s">
        <v>19</v>
      </c>
      <c r="F1037" t="s">
        <v>789</v>
      </c>
      <c r="G1037" s="1">
        <f>45818</f>
        <v>45818</v>
      </c>
      <c r="H1037" t="s">
        <v>51</v>
      </c>
      <c r="I1037" s="2">
        <v>9684.2199999999993</v>
      </c>
      <c r="J1037" s="2">
        <v>7232.96</v>
      </c>
      <c r="K1037" s="2">
        <v>2451.2600000000002</v>
      </c>
      <c r="L1037" s="2">
        <v>25.31</v>
      </c>
      <c r="M1037" s="2">
        <v>9684.2199999999993</v>
      </c>
      <c r="N1037" s="2">
        <v>7114.55</v>
      </c>
      <c r="O1037" s="2">
        <v>2475.67</v>
      </c>
      <c r="P1037" s="2">
        <v>26.53</v>
      </c>
    </row>
    <row r="1038" spans="1:16" x14ac:dyDescent="0.25">
      <c r="A1038" t="s">
        <v>15</v>
      </c>
      <c r="B1038" t="s">
        <v>1293</v>
      </c>
      <c r="C1038" t="s">
        <v>187</v>
      </c>
      <c r="D1038" t="s">
        <v>1390</v>
      </c>
      <c r="E1038" t="s">
        <v>19</v>
      </c>
      <c r="F1038" t="s">
        <v>219</v>
      </c>
      <c r="G1038" s="1">
        <f>45819</f>
        <v>45819</v>
      </c>
      <c r="H1038" t="s">
        <v>51</v>
      </c>
      <c r="I1038" s="2">
        <v>150.76</v>
      </c>
      <c r="J1038" s="2">
        <v>105.53</v>
      </c>
      <c r="K1038" s="2">
        <v>45.23</v>
      </c>
      <c r="L1038" s="2">
        <v>30</v>
      </c>
      <c r="M1038" s="2">
        <v>150.76</v>
      </c>
      <c r="N1038" s="2">
        <v>105.53</v>
      </c>
      <c r="O1038" s="2">
        <v>34.340000000000003</v>
      </c>
      <c r="P1038" s="2">
        <v>30</v>
      </c>
    </row>
    <row r="1039" spans="1:16" x14ac:dyDescent="0.25">
      <c r="A1039" t="s">
        <v>15</v>
      </c>
      <c r="B1039" t="s">
        <v>1293</v>
      </c>
      <c r="C1039" t="s">
        <v>187</v>
      </c>
      <c r="D1039" t="s">
        <v>1391</v>
      </c>
      <c r="E1039" t="s">
        <v>19</v>
      </c>
      <c r="F1039" t="s">
        <v>1392</v>
      </c>
      <c r="G1039" s="1">
        <f>45819</f>
        <v>45819</v>
      </c>
      <c r="H1039" t="s">
        <v>51</v>
      </c>
      <c r="I1039" s="2">
        <v>1428</v>
      </c>
      <c r="J1039" s="2">
        <v>991.51</v>
      </c>
      <c r="K1039" s="2">
        <v>436.49</v>
      </c>
      <c r="L1039" s="2">
        <v>30.57</v>
      </c>
      <c r="M1039" s="2">
        <v>1428</v>
      </c>
      <c r="N1039" s="2">
        <v>991.51</v>
      </c>
      <c r="O1039" s="2">
        <v>427.48</v>
      </c>
      <c r="P1039" s="2">
        <v>30.57</v>
      </c>
    </row>
    <row r="1040" spans="1:16" x14ac:dyDescent="0.25">
      <c r="A1040" t="s">
        <v>15</v>
      </c>
      <c r="B1040" t="s">
        <v>1293</v>
      </c>
      <c r="C1040" t="s">
        <v>187</v>
      </c>
      <c r="D1040" t="s">
        <v>1393</v>
      </c>
      <c r="E1040" t="s">
        <v>19</v>
      </c>
      <c r="F1040" t="s">
        <v>224</v>
      </c>
      <c r="G1040" s="1">
        <f>45820</f>
        <v>45820</v>
      </c>
      <c r="H1040" t="s">
        <v>51</v>
      </c>
      <c r="I1040" s="2">
        <v>473.1</v>
      </c>
      <c r="J1040" s="2">
        <v>319.64999999999998</v>
      </c>
      <c r="K1040" s="2">
        <v>153.44999999999999</v>
      </c>
      <c r="L1040" s="2">
        <v>32.44</v>
      </c>
      <c r="M1040" s="2">
        <v>473.1</v>
      </c>
      <c r="N1040" s="2">
        <v>319.64999999999998</v>
      </c>
      <c r="O1040" s="2">
        <v>133.44999999999999</v>
      </c>
      <c r="P1040" s="2">
        <v>32.44</v>
      </c>
    </row>
    <row r="1041" spans="1:16" x14ac:dyDescent="0.25">
      <c r="A1041" t="s">
        <v>15</v>
      </c>
      <c r="B1041" t="s">
        <v>1293</v>
      </c>
      <c r="C1041" t="s">
        <v>187</v>
      </c>
      <c r="D1041" t="s">
        <v>1394</v>
      </c>
      <c r="E1041" t="s">
        <v>19</v>
      </c>
      <c r="F1041" t="s">
        <v>191</v>
      </c>
      <c r="G1041" s="1">
        <f>45820</f>
        <v>45820</v>
      </c>
      <c r="H1041" t="s">
        <v>51</v>
      </c>
      <c r="I1041" s="2">
        <v>7882.36</v>
      </c>
      <c r="J1041" s="2">
        <v>5426</v>
      </c>
      <c r="K1041" s="2">
        <v>2456.36</v>
      </c>
      <c r="L1041" s="2">
        <v>31.16</v>
      </c>
      <c r="M1041" s="2">
        <v>7882.36</v>
      </c>
      <c r="N1041" s="2">
        <v>5426</v>
      </c>
      <c r="O1041" s="2">
        <v>2390.36</v>
      </c>
      <c r="P1041" s="2">
        <v>31.16</v>
      </c>
    </row>
    <row r="1042" spans="1:16" x14ac:dyDescent="0.25">
      <c r="A1042" t="s">
        <v>15</v>
      </c>
      <c r="B1042" t="s">
        <v>1293</v>
      </c>
      <c r="C1042" t="s">
        <v>187</v>
      </c>
      <c r="D1042" t="s">
        <v>1395</v>
      </c>
      <c r="E1042" t="s">
        <v>19</v>
      </c>
      <c r="F1042" t="s">
        <v>189</v>
      </c>
      <c r="G1042" s="1">
        <f>45821</f>
        <v>45821</v>
      </c>
      <c r="H1042" t="s">
        <v>51</v>
      </c>
      <c r="I1042" s="2">
        <v>3837.9</v>
      </c>
      <c r="J1042" s="2">
        <v>2191.71</v>
      </c>
      <c r="K1042" s="2">
        <v>1646.19</v>
      </c>
      <c r="L1042" s="2">
        <v>42.89</v>
      </c>
      <c r="M1042" s="2">
        <v>3837.9</v>
      </c>
      <c r="N1042" s="2">
        <v>2663.44</v>
      </c>
      <c r="O1042" s="2">
        <v>1129.46</v>
      </c>
      <c r="P1042" s="2">
        <v>30.6</v>
      </c>
    </row>
    <row r="1043" spans="1:16" x14ac:dyDescent="0.25">
      <c r="A1043" t="s">
        <v>15</v>
      </c>
      <c r="B1043" t="s">
        <v>1293</v>
      </c>
      <c r="C1043" t="s">
        <v>187</v>
      </c>
      <c r="D1043" t="s">
        <v>1396</v>
      </c>
      <c r="E1043" t="s">
        <v>19</v>
      </c>
      <c r="F1043" t="s">
        <v>211</v>
      </c>
      <c r="G1043" s="1">
        <f>45821</f>
        <v>45821</v>
      </c>
      <c r="H1043" t="s">
        <v>51</v>
      </c>
      <c r="I1043" s="2">
        <v>352.8</v>
      </c>
      <c r="J1043" s="2">
        <v>191.5</v>
      </c>
      <c r="K1043" s="2">
        <v>161.30000000000001</v>
      </c>
      <c r="L1043" s="2">
        <v>45.72</v>
      </c>
      <c r="M1043" s="2">
        <v>352.8</v>
      </c>
      <c r="N1043" s="2">
        <v>191.5</v>
      </c>
      <c r="O1043" s="2">
        <v>119.8</v>
      </c>
      <c r="P1043" s="2">
        <v>45.72</v>
      </c>
    </row>
    <row r="1044" spans="1:16" x14ac:dyDescent="0.25">
      <c r="A1044" t="s">
        <v>15</v>
      </c>
      <c r="B1044" t="s">
        <v>1293</v>
      </c>
      <c r="C1044" t="s">
        <v>187</v>
      </c>
      <c r="D1044" t="s">
        <v>1397</v>
      </c>
      <c r="E1044" t="s">
        <v>19</v>
      </c>
      <c r="F1044" t="s">
        <v>507</v>
      </c>
      <c r="G1044" s="1">
        <f>45824</f>
        <v>45824</v>
      </c>
      <c r="H1044" t="s">
        <v>51</v>
      </c>
      <c r="I1044" s="2">
        <v>833</v>
      </c>
      <c r="J1044" s="2">
        <v>651.75</v>
      </c>
      <c r="K1044" s="2">
        <v>181.25</v>
      </c>
      <c r="L1044" s="2">
        <v>21.76</v>
      </c>
      <c r="M1044" s="2">
        <v>833</v>
      </c>
      <c r="N1044" s="2">
        <v>651.77</v>
      </c>
      <c r="O1044" s="2">
        <v>172.23</v>
      </c>
      <c r="P1044" s="2">
        <v>21.76</v>
      </c>
    </row>
    <row r="1045" spans="1:16" x14ac:dyDescent="0.25">
      <c r="A1045" t="s">
        <v>15</v>
      </c>
      <c r="B1045" t="s">
        <v>1293</v>
      </c>
      <c r="C1045" t="s">
        <v>187</v>
      </c>
      <c r="D1045" t="s">
        <v>1398</v>
      </c>
      <c r="E1045" t="s">
        <v>19</v>
      </c>
      <c r="F1045" t="s">
        <v>1399</v>
      </c>
      <c r="G1045" s="1">
        <f>45825</f>
        <v>45825</v>
      </c>
      <c r="H1045" t="s">
        <v>51</v>
      </c>
      <c r="I1045" s="2">
        <v>1573.6</v>
      </c>
      <c r="J1045" s="2">
        <v>1008.8</v>
      </c>
      <c r="K1045" s="2">
        <v>564.79999999999995</v>
      </c>
      <c r="L1045" s="2">
        <v>35.89</v>
      </c>
      <c r="M1045" s="2">
        <v>1573.6</v>
      </c>
      <c r="N1045" s="2">
        <v>1008.8</v>
      </c>
      <c r="O1045" s="2">
        <v>473.8</v>
      </c>
      <c r="P1045" s="2">
        <v>35.89</v>
      </c>
    </row>
    <row r="1046" spans="1:16" x14ac:dyDescent="0.25">
      <c r="A1046" t="s">
        <v>15</v>
      </c>
      <c r="B1046" t="s">
        <v>1293</v>
      </c>
      <c r="C1046" t="s">
        <v>187</v>
      </c>
      <c r="D1046" t="s">
        <v>1400</v>
      </c>
      <c r="E1046" t="s">
        <v>19</v>
      </c>
      <c r="F1046" t="s">
        <v>191</v>
      </c>
      <c r="G1046" s="1">
        <f>45825</f>
        <v>45825</v>
      </c>
      <c r="H1046" t="s">
        <v>51</v>
      </c>
      <c r="I1046" s="2">
        <v>5251.4</v>
      </c>
      <c r="J1046" s="2">
        <v>3651</v>
      </c>
      <c r="K1046" s="2">
        <v>1600.4</v>
      </c>
      <c r="L1046" s="2">
        <v>30.48</v>
      </c>
      <c r="M1046" s="2">
        <v>5251.4</v>
      </c>
      <c r="N1046" s="2">
        <v>3651</v>
      </c>
      <c r="O1046" s="2">
        <v>1470.4</v>
      </c>
      <c r="P1046" s="2">
        <v>30.48</v>
      </c>
    </row>
    <row r="1047" spans="1:16" x14ac:dyDescent="0.25">
      <c r="A1047" t="s">
        <v>15</v>
      </c>
      <c r="B1047" t="s">
        <v>1293</v>
      </c>
      <c r="C1047" t="s">
        <v>187</v>
      </c>
      <c r="D1047" t="s">
        <v>1401</v>
      </c>
      <c r="E1047" t="s">
        <v>19</v>
      </c>
      <c r="F1047" t="s">
        <v>211</v>
      </c>
      <c r="G1047" s="1">
        <f>45825</f>
        <v>45825</v>
      </c>
      <c r="H1047" t="s">
        <v>51</v>
      </c>
      <c r="I1047" s="2">
        <v>499</v>
      </c>
      <c r="J1047" s="2">
        <v>289.33</v>
      </c>
      <c r="K1047" s="2">
        <v>209.67</v>
      </c>
      <c r="L1047" s="2">
        <v>42.02</v>
      </c>
      <c r="M1047" s="2">
        <v>499</v>
      </c>
      <c r="N1047" s="2">
        <v>289.33</v>
      </c>
      <c r="O1047" s="2">
        <v>199.67</v>
      </c>
      <c r="P1047" s="2">
        <v>42.02</v>
      </c>
    </row>
    <row r="1048" spans="1:16" x14ac:dyDescent="0.25">
      <c r="A1048" t="s">
        <v>15</v>
      </c>
      <c r="B1048" t="s">
        <v>1293</v>
      </c>
      <c r="C1048" t="s">
        <v>187</v>
      </c>
      <c r="D1048" t="s">
        <v>1402</v>
      </c>
      <c r="E1048" t="s">
        <v>19</v>
      </c>
      <c r="F1048" t="s">
        <v>198</v>
      </c>
      <c r="G1048" s="1">
        <f>45826</f>
        <v>45826</v>
      </c>
      <c r="H1048" t="s">
        <v>51</v>
      </c>
      <c r="I1048" s="2">
        <v>253.8</v>
      </c>
      <c r="J1048" s="2">
        <v>139.31</v>
      </c>
      <c r="K1048" s="2">
        <v>114.49</v>
      </c>
      <c r="L1048" s="2">
        <v>45.11</v>
      </c>
      <c r="M1048" s="2">
        <v>253.8</v>
      </c>
      <c r="N1048" s="2">
        <v>139.31</v>
      </c>
      <c r="O1048" s="2">
        <v>105.49</v>
      </c>
      <c r="P1048" s="2">
        <v>45.11</v>
      </c>
    </row>
    <row r="1049" spans="1:16" x14ac:dyDescent="0.25">
      <c r="A1049" t="s">
        <v>15</v>
      </c>
      <c r="B1049" t="s">
        <v>1293</v>
      </c>
      <c r="C1049" t="s">
        <v>187</v>
      </c>
      <c r="D1049" t="s">
        <v>1403</v>
      </c>
      <c r="E1049" t="s">
        <v>19</v>
      </c>
      <c r="F1049" t="s">
        <v>189</v>
      </c>
      <c r="G1049" s="1">
        <f>45826</f>
        <v>45826</v>
      </c>
      <c r="H1049" t="s">
        <v>51</v>
      </c>
      <c r="I1049" s="2">
        <v>527</v>
      </c>
      <c r="J1049" s="2">
        <v>352.2</v>
      </c>
      <c r="K1049" s="2">
        <v>174.8</v>
      </c>
      <c r="L1049" s="2">
        <v>33.17</v>
      </c>
      <c r="M1049" s="2">
        <v>527</v>
      </c>
      <c r="N1049" s="2">
        <v>352.2</v>
      </c>
      <c r="O1049" s="2">
        <v>165.8</v>
      </c>
      <c r="P1049" s="2">
        <v>33.17</v>
      </c>
    </row>
    <row r="1050" spans="1:16" x14ac:dyDescent="0.25">
      <c r="A1050" t="s">
        <v>15</v>
      </c>
      <c r="B1050" t="s">
        <v>1293</v>
      </c>
      <c r="C1050" t="s">
        <v>187</v>
      </c>
      <c r="D1050" t="s">
        <v>1404</v>
      </c>
      <c r="E1050" t="s">
        <v>19</v>
      </c>
      <c r="F1050" t="s">
        <v>211</v>
      </c>
      <c r="G1050" s="1">
        <f>45826</f>
        <v>45826</v>
      </c>
      <c r="H1050" t="s">
        <v>51</v>
      </c>
      <c r="I1050" s="2">
        <v>613.24</v>
      </c>
      <c r="J1050" s="2">
        <v>310</v>
      </c>
      <c r="K1050" s="2">
        <v>303.24</v>
      </c>
      <c r="L1050" s="2">
        <v>49.45</v>
      </c>
      <c r="M1050" s="2">
        <v>613.24</v>
      </c>
      <c r="N1050" s="2">
        <v>310</v>
      </c>
      <c r="O1050" s="2">
        <v>293.24</v>
      </c>
      <c r="P1050" s="2">
        <v>49.45</v>
      </c>
    </row>
    <row r="1051" spans="1:16" x14ac:dyDescent="0.25">
      <c r="A1051" t="s">
        <v>15</v>
      </c>
      <c r="B1051" t="s">
        <v>1293</v>
      </c>
      <c r="C1051" t="s">
        <v>187</v>
      </c>
      <c r="D1051" t="s">
        <v>1405</v>
      </c>
      <c r="E1051" t="s">
        <v>19</v>
      </c>
      <c r="F1051" t="s">
        <v>1406</v>
      </c>
      <c r="G1051" s="1">
        <f>45826</f>
        <v>45826</v>
      </c>
      <c r="H1051" t="s">
        <v>51</v>
      </c>
      <c r="I1051" s="2">
        <v>3555</v>
      </c>
      <c r="J1051" s="2">
        <v>2389</v>
      </c>
      <c r="K1051" s="2">
        <v>1166</v>
      </c>
      <c r="L1051" s="2">
        <v>32.799999999999997</v>
      </c>
      <c r="M1051" s="2">
        <v>3555</v>
      </c>
      <c r="N1051" s="2">
        <v>2389</v>
      </c>
      <c r="O1051" s="2">
        <v>1039</v>
      </c>
      <c r="P1051" s="2">
        <v>32.799999999999997</v>
      </c>
    </row>
    <row r="1052" spans="1:16" x14ac:dyDescent="0.25">
      <c r="A1052" t="s">
        <v>15</v>
      </c>
      <c r="B1052" t="s">
        <v>1293</v>
      </c>
      <c r="C1052" t="s">
        <v>187</v>
      </c>
      <c r="D1052" t="s">
        <v>1407</v>
      </c>
      <c r="E1052" t="s">
        <v>19</v>
      </c>
      <c r="F1052" t="s">
        <v>219</v>
      </c>
      <c r="G1052" s="1">
        <f>45827</f>
        <v>45827</v>
      </c>
      <c r="H1052" t="s">
        <v>51</v>
      </c>
      <c r="I1052" s="2">
        <v>298.33</v>
      </c>
      <c r="J1052" s="2">
        <v>216.16</v>
      </c>
      <c r="K1052" s="2">
        <v>82.17</v>
      </c>
      <c r="L1052" s="2">
        <v>27.54</v>
      </c>
      <c r="M1052" s="2">
        <v>298.33</v>
      </c>
      <c r="N1052" s="2">
        <v>216.16</v>
      </c>
      <c r="O1052" s="2">
        <v>69.11</v>
      </c>
      <c r="P1052" s="2">
        <v>27.54</v>
      </c>
    </row>
    <row r="1053" spans="1:16" x14ac:dyDescent="0.25">
      <c r="A1053" t="s">
        <v>15</v>
      </c>
      <c r="B1053" t="s">
        <v>1293</v>
      </c>
      <c r="C1053" t="s">
        <v>187</v>
      </c>
      <c r="D1053" t="s">
        <v>1408</v>
      </c>
      <c r="E1053" t="s">
        <v>19</v>
      </c>
      <c r="F1053" t="s">
        <v>211</v>
      </c>
      <c r="G1053" s="1">
        <f>45828</f>
        <v>45828</v>
      </c>
      <c r="H1053" t="s">
        <v>51</v>
      </c>
      <c r="I1053" s="2">
        <v>613.24</v>
      </c>
      <c r="J1053" s="2">
        <v>310</v>
      </c>
      <c r="K1053" s="2">
        <v>303.24</v>
      </c>
      <c r="L1053" s="2">
        <v>49.45</v>
      </c>
      <c r="M1053" s="2">
        <v>613.24</v>
      </c>
      <c r="N1053" s="2">
        <v>310</v>
      </c>
      <c r="O1053" s="2">
        <v>293.24</v>
      </c>
      <c r="P1053" s="2">
        <v>49.45</v>
      </c>
    </row>
    <row r="1054" spans="1:16" x14ac:dyDescent="0.25">
      <c r="A1054" t="s">
        <v>15</v>
      </c>
      <c r="B1054" t="s">
        <v>1293</v>
      </c>
      <c r="C1054" t="s">
        <v>187</v>
      </c>
      <c r="D1054" t="s">
        <v>1409</v>
      </c>
      <c r="E1054" t="s">
        <v>19</v>
      </c>
      <c r="F1054" t="s">
        <v>248</v>
      </c>
      <c r="G1054" s="1">
        <f>45825</f>
        <v>45825</v>
      </c>
      <c r="H1054" t="s">
        <v>51</v>
      </c>
      <c r="I1054" s="2">
        <v>252.35</v>
      </c>
      <c r="J1054" s="2">
        <v>171.6</v>
      </c>
      <c r="K1054" s="2">
        <v>80.75</v>
      </c>
      <c r="L1054" s="2">
        <v>32</v>
      </c>
      <c r="M1054" s="2">
        <v>252.35</v>
      </c>
      <c r="N1054" s="2">
        <v>171.6</v>
      </c>
      <c r="O1054" s="2">
        <v>30.75</v>
      </c>
      <c r="P1054" s="2">
        <v>32</v>
      </c>
    </row>
    <row r="1055" spans="1:16" x14ac:dyDescent="0.25">
      <c r="A1055" t="s">
        <v>15</v>
      </c>
      <c r="B1055" t="s">
        <v>1293</v>
      </c>
      <c r="C1055" t="s">
        <v>187</v>
      </c>
      <c r="D1055" t="s">
        <v>1410</v>
      </c>
      <c r="E1055" t="s">
        <v>19</v>
      </c>
      <c r="F1055" t="s">
        <v>211</v>
      </c>
      <c r="G1055" s="1">
        <f>45825</f>
        <v>45825</v>
      </c>
      <c r="H1055" t="s">
        <v>51</v>
      </c>
      <c r="I1055" s="2">
        <v>859</v>
      </c>
      <c r="J1055" s="2">
        <v>578.80999999999995</v>
      </c>
      <c r="K1055" s="2">
        <v>280.19</v>
      </c>
      <c r="L1055" s="2">
        <v>32.619999999999997</v>
      </c>
      <c r="M1055" s="2">
        <v>859</v>
      </c>
      <c r="N1055" s="2">
        <v>578.80999999999995</v>
      </c>
      <c r="O1055" s="2">
        <v>271.19</v>
      </c>
      <c r="P1055" s="2">
        <v>32.619999999999997</v>
      </c>
    </row>
    <row r="1056" spans="1:16" x14ac:dyDescent="0.25">
      <c r="A1056" t="s">
        <v>15</v>
      </c>
      <c r="B1056" t="s">
        <v>1293</v>
      </c>
      <c r="C1056" t="s">
        <v>187</v>
      </c>
      <c r="D1056" t="s">
        <v>1411</v>
      </c>
      <c r="E1056" t="s">
        <v>19</v>
      </c>
      <c r="F1056" t="s">
        <v>213</v>
      </c>
      <c r="G1056" s="1">
        <f>45832</f>
        <v>45832</v>
      </c>
      <c r="H1056" t="s">
        <v>51</v>
      </c>
      <c r="I1056" s="2">
        <v>2760.2</v>
      </c>
      <c r="J1056" s="2">
        <v>2025.16</v>
      </c>
      <c r="K1056" s="2">
        <v>735.04</v>
      </c>
      <c r="L1056" s="2">
        <v>26.63</v>
      </c>
      <c r="M1056" s="2">
        <v>2760.2</v>
      </c>
      <c r="N1056" s="2">
        <v>2025.16</v>
      </c>
      <c r="O1056" s="2">
        <v>545.04</v>
      </c>
      <c r="P1056" s="2">
        <v>26.63</v>
      </c>
    </row>
    <row r="1057" spans="1:16" x14ac:dyDescent="0.25">
      <c r="A1057" t="s">
        <v>15</v>
      </c>
      <c r="B1057" t="s">
        <v>1293</v>
      </c>
      <c r="C1057" t="s">
        <v>187</v>
      </c>
      <c r="D1057" t="s">
        <v>1412</v>
      </c>
      <c r="E1057" t="s">
        <v>19</v>
      </c>
      <c r="F1057" t="s">
        <v>189</v>
      </c>
      <c r="G1057" s="1">
        <f>45834</f>
        <v>45834</v>
      </c>
      <c r="H1057" t="s">
        <v>51</v>
      </c>
      <c r="I1057" s="2">
        <v>281.08</v>
      </c>
      <c r="J1057" s="2">
        <v>164.44</v>
      </c>
      <c r="K1057" s="2">
        <v>116.64</v>
      </c>
      <c r="L1057" s="2">
        <v>41.5</v>
      </c>
      <c r="M1057" s="2">
        <v>281.08</v>
      </c>
      <c r="N1057" s="2">
        <v>164.44</v>
      </c>
      <c r="O1057" s="2">
        <v>72.64</v>
      </c>
      <c r="P1057" s="2">
        <v>41.5</v>
      </c>
    </row>
    <row r="1058" spans="1:16" x14ac:dyDescent="0.25">
      <c r="A1058" t="s">
        <v>15</v>
      </c>
      <c r="B1058" t="s">
        <v>1293</v>
      </c>
      <c r="C1058" t="s">
        <v>187</v>
      </c>
      <c r="D1058" t="s">
        <v>1413</v>
      </c>
      <c r="E1058" t="s">
        <v>19</v>
      </c>
      <c r="F1058" t="s">
        <v>211</v>
      </c>
      <c r="G1058" s="1">
        <f>45834</f>
        <v>45834</v>
      </c>
      <c r="H1058" t="s">
        <v>51</v>
      </c>
      <c r="I1058" s="2">
        <v>1857</v>
      </c>
      <c r="J1058" s="2">
        <v>1296.21</v>
      </c>
      <c r="K1058" s="2">
        <v>560.79</v>
      </c>
      <c r="L1058" s="2">
        <v>30.2</v>
      </c>
      <c r="M1058" s="2">
        <v>1857</v>
      </c>
      <c r="N1058" s="2">
        <v>1296.21</v>
      </c>
      <c r="O1058" s="2">
        <v>446.09</v>
      </c>
      <c r="P1058" s="2">
        <v>30.2</v>
      </c>
    </row>
    <row r="1059" spans="1:16" x14ac:dyDescent="0.25">
      <c r="A1059" t="s">
        <v>15</v>
      </c>
      <c r="B1059" t="s">
        <v>1293</v>
      </c>
      <c r="C1059" t="s">
        <v>187</v>
      </c>
      <c r="D1059" t="s">
        <v>1414</v>
      </c>
      <c r="E1059" t="s">
        <v>47</v>
      </c>
      <c r="F1059" t="s">
        <v>1415</v>
      </c>
      <c r="G1059" s="1">
        <f>45834</f>
        <v>45834</v>
      </c>
      <c r="H1059" t="s">
        <v>51</v>
      </c>
      <c r="I1059" s="2">
        <v>365</v>
      </c>
      <c r="J1059" s="2">
        <v>164.1</v>
      </c>
      <c r="K1059" s="2">
        <v>200.9</v>
      </c>
      <c r="L1059" s="2">
        <v>55.04</v>
      </c>
      <c r="M1059" s="2">
        <v>365</v>
      </c>
      <c r="N1059" s="2">
        <v>164.1</v>
      </c>
      <c r="O1059" s="2">
        <v>200.9</v>
      </c>
      <c r="P1059" s="2">
        <v>55.04</v>
      </c>
    </row>
    <row r="1060" spans="1:16" x14ac:dyDescent="0.25">
      <c r="A1060" t="s">
        <v>15</v>
      </c>
      <c r="B1060" t="s">
        <v>1293</v>
      </c>
      <c r="C1060" t="s">
        <v>187</v>
      </c>
      <c r="D1060" t="s">
        <v>1416</v>
      </c>
      <c r="E1060" t="s">
        <v>19</v>
      </c>
      <c r="F1060" t="s">
        <v>1028</v>
      </c>
      <c r="G1060" s="1">
        <f>45834</f>
        <v>45834</v>
      </c>
      <c r="H1060" t="s">
        <v>51</v>
      </c>
      <c r="I1060" s="2">
        <v>652.6</v>
      </c>
      <c r="J1060" s="2">
        <v>393.6</v>
      </c>
      <c r="K1060" s="2">
        <v>259</v>
      </c>
      <c r="L1060" s="2">
        <v>39.69</v>
      </c>
      <c r="M1060" s="2">
        <v>652.6</v>
      </c>
      <c r="N1060" s="2">
        <v>393.6</v>
      </c>
      <c r="O1060" s="2">
        <v>235</v>
      </c>
      <c r="P1060" s="2">
        <v>39.69</v>
      </c>
    </row>
    <row r="1061" spans="1:16" x14ac:dyDescent="0.25">
      <c r="A1061" t="s">
        <v>15</v>
      </c>
      <c r="B1061" t="s">
        <v>1293</v>
      </c>
      <c r="C1061" t="s">
        <v>187</v>
      </c>
      <c r="D1061" t="s">
        <v>1417</v>
      </c>
      <c r="E1061" t="s">
        <v>19</v>
      </c>
      <c r="F1061" t="s">
        <v>213</v>
      </c>
      <c r="G1061" s="1">
        <f>45835</f>
        <v>45835</v>
      </c>
      <c r="H1061" t="s">
        <v>51</v>
      </c>
      <c r="I1061" s="2">
        <v>10064</v>
      </c>
      <c r="J1061" s="2">
        <v>7323.43</v>
      </c>
      <c r="K1061" s="2">
        <v>2740.57</v>
      </c>
      <c r="L1061" s="2">
        <v>27.23</v>
      </c>
      <c r="M1061" s="2">
        <v>10064</v>
      </c>
      <c r="N1061" s="2">
        <v>7323.43</v>
      </c>
      <c r="O1061" s="2">
        <v>2740.56</v>
      </c>
      <c r="P1061" s="2">
        <v>27.23</v>
      </c>
    </row>
    <row r="1062" spans="1:16" x14ac:dyDescent="0.25">
      <c r="A1062" t="s">
        <v>15</v>
      </c>
      <c r="B1062" t="s">
        <v>1293</v>
      </c>
      <c r="C1062" t="s">
        <v>187</v>
      </c>
      <c r="D1062" t="s">
        <v>1418</v>
      </c>
      <c r="E1062" t="s">
        <v>19</v>
      </c>
      <c r="F1062" t="s">
        <v>248</v>
      </c>
      <c r="G1062" s="1">
        <f>45835</f>
        <v>45835</v>
      </c>
      <c r="H1062" t="s">
        <v>51</v>
      </c>
      <c r="I1062" s="2">
        <v>459.85</v>
      </c>
      <c r="J1062" s="2">
        <v>321.32</v>
      </c>
      <c r="K1062" s="2">
        <v>138.53</v>
      </c>
      <c r="L1062" s="2">
        <v>30.13</v>
      </c>
      <c r="M1062" s="2">
        <v>459.85</v>
      </c>
      <c r="N1062" s="2">
        <v>321.32</v>
      </c>
      <c r="O1062" s="2">
        <v>88.53</v>
      </c>
      <c r="P1062" s="2">
        <v>30.13</v>
      </c>
    </row>
    <row r="1063" spans="1:16" x14ac:dyDescent="0.25">
      <c r="A1063" t="s">
        <v>15</v>
      </c>
      <c r="B1063" t="s">
        <v>1293</v>
      </c>
      <c r="C1063" t="s">
        <v>187</v>
      </c>
      <c r="D1063" t="s">
        <v>1419</v>
      </c>
      <c r="E1063" t="s">
        <v>19</v>
      </c>
      <c r="F1063" t="s">
        <v>520</v>
      </c>
      <c r="G1063" s="1">
        <f>45835</f>
        <v>45835</v>
      </c>
      <c r="H1063" t="s">
        <v>51</v>
      </c>
      <c r="I1063" s="2">
        <v>1780</v>
      </c>
      <c r="J1063" s="2">
        <v>1203.32</v>
      </c>
      <c r="K1063" s="2">
        <v>576.67999999999995</v>
      </c>
      <c r="L1063" s="2">
        <v>32.4</v>
      </c>
      <c r="M1063" s="2">
        <v>1780</v>
      </c>
      <c r="N1063" s="2">
        <v>1203.32</v>
      </c>
      <c r="O1063" s="2">
        <v>554.70000000000005</v>
      </c>
      <c r="P1063" s="2">
        <v>32.4</v>
      </c>
    </row>
    <row r="1064" spans="1:16" x14ac:dyDescent="0.25">
      <c r="A1064" t="s">
        <v>15</v>
      </c>
      <c r="B1064" t="s">
        <v>1293</v>
      </c>
      <c r="C1064" t="s">
        <v>252</v>
      </c>
      <c r="D1064" t="s">
        <v>1420</v>
      </c>
      <c r="E1064" t="s">
        <v>47</v>
      </c>
      <c r="F1064" t="s">
        <v>281</v>
      </c>
      <c r="G1064" s="1">
        <f>45810</f>
        <v>45810</v>
      </c>
      <c r="H1064" t="s">
        <v>2422</v>
      </c>
      <c r="I1064" s="2">
        <v>406.6</v>
      </c>
      <c r="J1064" s="2">
        <v>285.22000000000003</v>
      </c>
      <c r="K1064" s="2">
        <v>121.38</v>
      </c>
      <c r="L1064" s="2">
        <v>29.85</v>
      </c>
      <c r="M1064" s="2">
        <v>406.6</v>
      </c>
      <c r="N1064" s="2">
        <v>285.22000000000003</v>
      </c>
      <c r="O1064" s="2">
        <v>69.88</v>
      </c>
      <c r="P1064" s="2">
        <v>29.85</v>
      </c>
    </row>
    <row r="1065" spans="1:16" x14ac:dyDescent="0.25">
      <c r="A1065" t="s">
        <v>15</v>
      </c>
      <c r="B1065" t="s">
        <v>1293</v>
      </c>
      <c r="C1065" t="s">
        <v>252</v>
      </c>
      <c r="D1065" t="s">
        <v>1421</v>
      </c>
      <c r="E1065" t="s">
        <v>47</v>
      </c>
      <c r="F1065" t="s">
        <v>276</v>
      </c>
      <c r="G1065" s="1">
        <f>45813</f>
        <v>45813</v>
      </c>
      <c r="H1065" t="s">
        <v>2422</v>
      </c>
      <c r="I1065" s="2">
        <v>1374.9</v>
      </c>
      <c r="J1065" s="2">
        <v>929</v>
      </c>
      <c r="K1065" s="2">
        <v>445.9</v>
      </c>
      <c r="L1065" s="2">
        <v>32.43</v>
      </c>
      <c r="M1065" s="2">
        <v>1374.9</v>
      </c>
      <c r="N1065" s="2">
        <v>929</v>
      </c>
      <c r="O1065" s="2">
        <v>396.9</v>
      </c>
      <c r="P1065" s="2">
        <v>32.43</v>
      </c>
    </row>
    <row r="1066" spans="1:16" x14ac:dyDescent="0.25">
      <c r="A1066" t="s">
        <v>15</v>
      </c>
      <c r="B1066" t="s">
        <v>1293</v>
      </c>
      <c r="C1066" t="s">
        <v>252</v>
      </c>
      <c r="D1066" t="s">
        <v>1422</v>
      </c>
      <c r="E1066" t="s">
        <v>47</v>
      </c>
      <c r="F1066" t="s">
        <v>1423</v>
      </c>
      <c r="G1066" s="1">
        <f>45813</f>
        <v>45813</v>
      </c>
      <c r="H1066" t="s">
        <v>2422</v>
      </c>
      <c r="I1066" s="2">
        <v>414.2</v>
      </c>
      <c r="J1066" s="2">
        <v>298.44</v>
      </c>
      <c r="K1066" s="2">
        <v>115.76</v>
      </c>
      <c r="L1066" s="2">
        <v>27.95</v>
      </c>
      <c r="M1066" s="2">
        <v>414.2</v>
      </c>
      <c r="N1066" s="2">
        <v>298.44</v>
      </c>
      <c r="O1066" s="2">
        <v>75.760000000000005</v>
      </c>
      <c r="P1066" s="2">
        <v>27.95</v>
      </c>
    </row>
    <row r="1067" spans="1:16" x14ac:dyDescent="0.25">
      <c r="A1067" t="s">
        <v>15</v>
      </c>
      <c r="B1067" t="s">
        <v>1293</v>
      </c>
      <c r="C1067" t="s">
        <v>252</v>
      </c>
      <c r="D1067" t="s">
        <v>1424</v>
      </c>
      <c r="E1067" t="s">
        <v>47</v>
      </c>
      <c r="F1067" t="s">
        <v>1425</v>
      </c>
      <c r="G1067" s="1">
        <f>45814</f>
        <v>45814</v>
      </c>
      <c r="H1067" t="s">
        <v>2422</v>
      </c>
      <c r="I1067" s="2">
        <v>1066.5</v>
      </c>
      <c r="J1067" s="2">
        <v>679.6</v>
      </c>
      <c r="K1067" s="2">
        <v>386.9</v>
      </c>
      <c r="L1067" s="2">
        <v>36.28</v>
      </c>
      <c r="M1067" s="2">
        <v>1066.5</v>
      </c>
      <c r="N1067" s="2">
        <v>679.6</v>
      </c>
      <c r="O1067" s="2">
        <v>336.9</v>
      </c>
      <c r="P1067" s="2">
        <v>36.28</v>
      </c>
    </row>
    <row r="1068" spans="1:16" x14ac:dyDescent="0.25">
      <c r="A1068" t="s">
        <v>15</v>
      </c>
      <c r="B1068" t="s">
        <v>1293</v>
      </c>
      <c r="C1068" t="s">
        <v>252</v>
      </c>
      <c r="D1068" t="s">
        <v>1426</v>
      </c>
      <c r="E1068" t="s">
        <v>19</v>
      </c>
      <c r="F1068" t="s">
        <v>830</v>
      </c>
      <c r="G1068" s="1">
        <f>45820</f>
        <v>45820</v>
      </c>
      <c r="H1068" t="s">
        <v>56</v>
      </c>
      <c r="I1068" s="2">
        <v>1205.9000000000001</v>
      </c>
      <c r="J1068" s="2">
        <v>784.66</v>
      </c>
      <c r="K1068" s="2">
        <v>421.24</v>
      </c>
      <c r="L1068" s="2">
        <v>34.93</v>
      </c>
      <c r="M1068" s="2">
        <v>1205.9000000000001</v>
      </c>
      <c r="N1068" s="2">
        <v>784.66</v>
      </c>
      <c r="O1068" s="2">
        <v>381.24</v>
      </c>
      <c r="P1068" s="2">
        <v>34.93</v>
      </c>
    </row>
    <row r="1069" spans="1:16" x14ac:dyDescent="0.25">
      <c r="A1069" t="s">
        <v>15</v>
      </c>
      <c r="B1069" t="s">
        <v>1293</v>
      </c>
      <c r="C1069" t="s">
        <v>252</v>
      </c>
      <c r="D1069" t="s">
        <v>1427</v>
      </c>
      <c r="E1069" t="s">
        <v>19</v>
      </c>
      <c r="F1069" t="s">
        <v>574</v>
      </c>
      <c r="G1069" s="1">
        <f>45820</f>
        <v>45820</v>
      </c>
      <c r="H1069" t="s">
        <v>56</v>
      </c>
      <c r="I1069" s="2">
        <v>1021.4</v>
      </c>
      <c r="J1069" s="2">
        <v>688.58</v>
      </c>
      <c r="K1069" s="2">
        <v>332.82</v>
      </c>
      <c r="L1069" s="2">
        <v>32.58</v>
      </c>
      <c r="M1069" s="2">
        <v>1021.4</v>
      </c>
      <c r="N1069" s="2">
        <v>688.57</v>
      </c>
      <c r="O1069" s="2">
        <v>288.83</v>
      </c>
      <c r="P1069" s="2">
        <v>32.590000000000003</v>
      </c>
    </row>
    <row r="1070" spans="1:16" x14ac:dyDescent="0.25">
      <c r="A1070" t="s">
        <v>15</v>
      </c>
      <c r="B1070" t="s">
        <v>1293</v>
      </c>
      <c r="C1070" t="s">
        <v>252</v>
      </c>
      <c r="D1070" t="s">
        <v>1428</v>
      </c>
      <c r="E1070" t="s">
        <v>19</v>
      </c>
      <c r="F1070" t="s">
        <v>1429</v>
      </c>
      <c r="G1070" s="1">
        <f>45820</f>
        <v>45820</v>
      </c>
      <c r="H1070" t="s">
        <v>56</v>
      </c>
      <c r="I1070" s="2">
        <v>3941</v>
      </c>
      <c r="J1070" s="2">
        <v>2910</v>
      </c>
      <c r="K1070" s="2">
        <v>1031</v>
      </c>
      <c r="L1070" s="2">
        <v>26.16</v>
      </c>
      <c r="M1070" s="2">
        <v>3941</v>
      </c>
      <c r="N1070" s="2">
        <v>2910</v>
      </c>
      <c r="O1070" s="2">
        <v>826</v>
      </c>
      <c r="P1070" s="2">
        <v>26.16</v>
      </c>
    </row>
    <row r="1071" spans="1:16" x14ac:dyDescent="0.25">
      <c r="A1071" t="s">
        <v>15</v>
      </c>
      <c r="B1071" t="s">
        <v>1293</v>
      </c>
      <c r="C1071" t="s">
        <v>252</v>
      </c>
      <c r="D1071" t="s">
        <v>1430</v>
      </c>
      <c r="E1071" t="s">
        <v>19</v>
      </c>
      <c r="F1071" t="s">
        <v>272</v>
      </c>
      <c r="G1071" s="1">
        <f>45820</f>
        <v>45820</v>
      </c>
      <c r="H1071" t="s">
        <v>56</v>
      </c>
      <c r="I1071" s="2">
        <v>522.1</v>
      </c>
      <c r="J1071" s="2">
        <v>372.19</v>
      </c>
      <c r="K1071" s="2">
        <v>149.91</v>
      </c>
      <c r="L1071" s="2">
        <v>28.71</v>
      </c>
      <c r="M1071" s="2">
        <v>522.1</v>
      </c>
      <c r="N1071" s="2">
        <v>372.19</v>
      </c>
      <c r="O1071" s="2">
        <v>149.91</v>
      </c>
      <c r="P1071" s="2">
        <v>28.71</v>
      </c>
    </row>
    <row r="1072" spans="1:16" x14ac:dyDescent="0.25">
      <c r="A1072" t="s">
        <v>15</v>
      </c>
      <c r="B1072" t="s">
        <v>1293</v>
      </c>
      <c r="C1072" t="s">
        <v>252</v>
      </c>
      <c r="D1072" t="s">
        <v>1431</v>
      </c>
      <c r="E1072" t="s">
        <v>47</v>
      </c>
      <c r="F1072" t="s">
        <v>587</v>
      </c>
      <c r="G1072" s="1">
        <f>45824</f>
        <v>45824</v>
      </c>
      <c r="H1072" t="s">
        <v>2422</v>
      </c>
      <c r="I1072" s="2">
        <v>1015</v>
      </c>
      <c r="J1072" s="2">
        <v>717.92</v>
      </c>
      <c r="K1072" s="2">
        <v>297.08</v>
      </c>
      <c r="L1072" s="2">
        <v>29.27</v>
      </c>
      <c r="M1072" s="2">
        <v>1015</v>
      </c>
      <c r="N1072" s="2">
        <v>717.9</v>
      </c>
      <c r="O1072" s="2">
        <v>286.10000000000002</v>
      </c>
      <c r="P1072" s="2">
        <v>29.27</v>
      </c>
    </row>
    <row r="1073" spans="1:16" x14ac:dyDescent="0.25">
      <c r="A1073" t="s">
        <v>15</v>
      </c>
      <c r="B1073" t="s">
        <v>1293</v>
      </c>
      <c r="C1073" t="s">
        <v>252</v>
      </c>
      <c r="D1073" t="s">
        <v>1432</v>
      </c>
      <c r="E1073" t="s">
        <v>47</v>
      </c>
      <c r="F1073" t="s">
        <v>563</v>
      </c>
      <c r="G1073" s="1">
        <f>45824</f>
        <v>45824</v>
      </c>
      <c r="H1073" t="s">
        <v>2422</v>
      </c>
      <c r="I1073" s="2">
        <v>282.5</v>
      </c>
      <c r="J1073" s="2">
        <v>178.72</v>
      </c>
      <c r="K1073" s="2">
        <v>103.78</v>
      </c>
      <c r="L1073" s="2">
        <v>36.74</v>
      </c>
      <c r="M1073" s="2">
        <v>282.5</v>
      </c>
      <c r="N1073" s="2">
        <v>178.72</v>
      </c>
      <c r="O1073" s="2">
        <v>98.56</v>
      </c>
      <c r="P1073" s="2">
        <v>36.74</v>
      </c>
    </row>
    <row r="1074" spans="1:16" x14ac:dyDescent="0.25">
      <c r="A1074" t="s">
        <v>15</v>
      </c>
      <c r="B1074" t="s">
        <v>1293</v>
      </c>
      <c r="C1074" t="s">
        <v>252</v>
      </c>
      <c r="D1074" t="s">
        <v>1433</v>
      </c>
      <c r="E1074" t="s">
        <v>47</v>
      </c>
      <c r="F1074" t="s">
        <v>563</v>
      </c>
      <c r="G1074" s="1">
        <f>45826</f>
        <v>45826</v>
      </c>
      <c r="H1074" t="s">
        <v>2422</v>
      </c>
      <c r="I1074" s="2">
        <v>541.29999999999995</v>
      </c>
      <c r="J1074" s="2">
        <v>330.4</v>
      </c>
      <c r="K1074" s="2">
        <v>210.9</v>
      </c>
      <c r="L1074" s="2">
        <v>38.96</v>
      </c>
      <c r="M1074" s="2">
        <v>541.29999999999995</v>
      </c>
      <c r="N1074" s="2">
        <v>330.4</v>
      </c>
      <c r="O1074" s="2">
        <v>190.5</v>
      </c>
      <c r="P1074" s="2">
        <v>38.96</v>
      </c>
    </row>
    <row r="1075" spans="1:16" x14ac:dyDescent="0.25">
      <c r="A1075" t="s">
        <v>15</v>
      </c>
      <c r="B1075" t="s">
        <v>1293</v>
      </c>
      <c r="C1075" t="s">
        <v>252</v>
      </c>
      <c r="D1075" t="s">
        <v>1434</v>
      </c>
      <c r="E1075" t="s">
        <v>47</v>
      </c>
      <c r="F1075" t="s">
        <v>288</v>
      </c>
      <c r="G1075" s="1">
        <f>45826</f>
        <v>45826</v>
      </c>
      <c r="H1075" t="s">
        <v>2422</v>
      </c>
      <c r="I1075" s="2">
        <v>165</v>
      </c>
      <c r="J1075" s="2">
        <v>39</v>
      </c>
      <c r="K1075" s="2">
        <v>126</v>
      </c>
      <c r="L1075" s="2">
        <v>76.36</v>
      </c>
      <c r="M1075" s="2">
        <v>165</v>
      </c>
      <c r="N1075" s="2">
        <v>39</v>
      </c>
      <c r="O1075" s="2">
        <v>101</v>
      </c>
      <c r="P1075" s="2">
        <v>76.36</v>
      </c>
    </row>
    <row r="1076" spans="1:16" x14ac:dyDescent="0.25">
      <c r="A1076" t="s">
        <v>15</v>
      </c>
      <c r="B1076" t="s">
        <v>1293</v>
      </c>
      <c r="C1076" t="s">
        <v>252</v>
      </c>
      <c r="D1076" t="s">
        <v>1435</v>
      </c>
      <c r="E1076" t="s">
        <v>47</v>
      </c>
      <c r="F1076" t="s">
        <v>265</v>
      </c>
      <c r="G1076" s="1">
        <f>45826</f>
        <v>45826</v>
      </c>
      <c r="H1076" t="s">
        <v>2422</v>
      </c>
      <c r="I1076" s="2">
        <v>255</v>
      </c>
      <c r="J1076" s="2">
        <v>166.25</v>
      </c>
      <c r="K1076" s="2">
        <v>88.75</v>
      </c>
      <c r="L1076" s="2">
        <v>34.799999999999997</v>
      </c>
      <c r="M1076" s="2">
        <v>255</v>
      </c>
      <c r="N1076" s="2">
        <v>166.25</v>
      </c>
      <c r="O1076" s="2">
        <v>78.75</v>
      </c>
      <c r="P1076" s="2">
        <v>34.799999999999997</v>
      </c>
    </row>
    <row r="1077" spans="1:16" x14ac:dyDescent="0.25">
      <c r="A1077" t="s">
        <v>15</v>
      </c>
      <c r="B1077" t="s">
        <v>1293</v>
      </c>
      <c r="C1077" t="s">
        <v>252</v>
      </c>
      <c r="D1077" t="s">
        <v>1436</v>
      </c>
      <c r="E1077" t="s">
        <v>47</v>
      </c>
      <c r="F1077" t="s">
        <v>281</v>
      </c>
      <c r="G1077" s="1">
        <f>45826</f>
        <v>45826</v>
      </c>
      <c r="H1077" t="s">
        <v>2422</v>
      </c>
      <c r="I1077" s="2">
        <v>7768.4</v>
      </c>
      <c r="J1077" s="2">
        <v>5406.86</v>
      </c>
      <c r="K1077" s="2">
        <v>2361.54</v>
      </c>
      <c r="L1077" s="2">
        <v>30.4</v>
      </c>
      <c r="M1077" s="2">
        <v>7768.4</v>
      </c>
      <c r="N1077" s="2">
        <v>5411.86</v>
      </c>
      <c r="O1077" s="2">
        <v>2212.54</v>
      </c>
      <c r="P1077" s="2">
        <v>30.33</v>
      </c>
    </row>
    <row r="1078" spans="1:16" x14ac:dyDescent="0.25">
      <c r="A1078" t="s">
        <v>15</v>
      </c>
      <c r="B1078" t="s">
        <v>1293</v>
      </c>
      <c r="C1078" t="s">
        <v>252</v>
      </c>
      <c r="D1078" t="s">
        <v>1437</v>
      </c>
      <c r="E1078" t="s">
        <v>47</v>
      </c>
      <c r="F1078" t="s">
        <v>276</v>
      </c>
      <c r="G1078" s="1">
        <f>45827</f>
        <v>45827</v>
      </c>
      <c r="H1078" t="s">
        <v>2422</v>
      </c>
      <c r="I1078" s="2">
        <v>3750</v>
      </c>
      <c r="J1078" s="2">
        <v>2605.75</v>
      </c>
      <c r="K1078" s="2">
        <v>1144.25</v>
      </c>
      <c r="L1078" s="2">
        <v>30.51</v>
      </c>
      <c r="M1078" s="2">
        <v>3750</v>
      </c>
      <c r="N1078" s="2">
        <v>2605.75</v>
      </c>
      <c r="O1078" s="2">
        <v>1102.25</v>
      </c>
      <c r="P1078" s="2">
        <v>30.51</v>
      </c>
    </row>
    <row r="1079" spans="1:16" x14ac:dyDescent="0.25">
      <c r="A1079" t="s">
        <v>15</v>
      </c>
      <c r="B1079" t="s">
        <v>1293</v>
      </c>
      <c r="C1079" t="s">
        <v>252</v>
      </c>
      <c r="D1079" t="s">
        <v>1438</v>
      </c>
      <c r="E1079" t="s">
        <v>47</v>
      </c>
      <c r="F1079" t="s">
        <v>574</v>
      </c>
      <c r="G1079" s="1">
        <f>45827</f>
        <v>45827</v>
      </c>
      <c r="H1079" t="s">
        <v>2422</v>
      </c>
      <c r="I1079" s="2">
        <v>211.6</v>
      </c>
      <c r="J1079" s="2">
        <v>135.26</v>
      </c>
      <c r="K1079" s="2">
        <v>76.34</v>
      </c>
      <c r="L1079" s="2">
        <v>36.08</v>
      </c>
      <c r="M1079" s="2">
        <v>211.6</v>
      </c>
      <c r="N1079" s="2">
        <v>135.26</v>
      </c>
      <c r="O1079" s="2">
        <v>40.340000000000003</v>
      </c>
      <c r="P1079" s="2">
        <v>36.08</v>
      </c>
    </row>
    <row r="1080" spans="1:16" x14ac:dyDescent="0.25">
      <c r="A1080" t="s">
        <v>15</v>
      </c>
      <c r="B1080" t="s">
        <v>1293</v>
      </c>
      <c r="C1080" t="s">
        <v>252</v>
      </c>
      <c r="D1080" t="s">
        <v>1439</v>
      </c>
      <c r="E1080" t="s">
        <v>47</v>
      </c>
      <c r="F1080" t="s">
        <v>272</v>
      </c>
      <c r="G1080" s="1">
        <f>45828</f>
        <v>45828</v>
      </c>
      <c r="H1080" t="s">
        <v>2422</v>
      </c>
      <c r="I1080" s="2">
        <v>2047.28</v>
      </c>
      <c r="J1080" s="2">
        <v>1459.43</v>
      </c>
      <c r="K1080" s="2">
        <v>587.85</v>
      </c>
      <c r="L1080" s="2">
        <v>28.71</v>
      </c>
      <c r="M1080" s="2">
        <v>2047.28</v>
      </c>
      <c r="N1080" s="2">
        <v>1459.43</v>
      </c>
      <c r="O1080" s="2">
        <v>587.85</v>
      </c>
      <c r="P1080" s="2">
        <v>28.71</v>
      </c>
    </row>
    <row r="1081" spans="1:16" x14ac:dyDescent="0.25">
      <c r="A1081" t="s">
        <v>15</v>
      </c>
      <c r="B1081" t="s">
        <v>1293</v>
      </c>
      <c r="C1081" t="s">
        <v>252</v>
      </c>
      <c r="D1081" t="s">
        <v>1440</v>
      </c>
      <c r="E1081" t="s">
        <v>47</v>
      </c>
      <c r="F1081" t="s">
        <v>279</v>
      </c>
      <c r="G1081" s="1">
        <f>45831</f>
        <v>45831</v>
      </c>
      <c r="H1081" t="s">
        <v>2422</v>
      </c>
      <c r="I1081" s="2">
        <v>1403.9</v>
      </c>
      <c r="J1081" s="2">
        <v>933.08</v>
      </c>
      <c r="K1081" s="2">
        <v>470.82</v>
      </c>
      <c r="L1081" s="2">
        <v>33.54</v>
      </c>
      <c r="M1081" s="2">
        <v>1403.9</v>
      </c>
      <c r="N1081" s="2">
        <v>933.08</v>
      </c>
      <c r="O1081" s="2">
        <v>411.82</v>
      </c>
      <c r="P1081" s="2">
        <v>33.54</v>
      </c>
    </row>
    <row r="1082" spans="1:16" x14ac:dyDescent="0.25">
      <c r="A1082" t="s">
        <v>15</v>
      </c>
      <c r="B1082" t="s">
        <v>1293</v>
      </c>
      <c r="C1082" t="s">
        <v>252</v>
      </c>
      <c r="D1082" t="s">
        <v>1441</v>
      </c>
      <c r="E1082" t="s">
        <v>47</v>
      </c>
      <c r="F1082" t="s">
        <v>292</v>
      </c>
      <c r="G1082" s="1">
        <f>45831</f>
        <v>45831</v>
      </c>
      <c r="H1082" t="s">
        <v>2422</v>
      </c>
      <c r="I1082" s="2">
        <v>736.8</v>
      </c>
      <c r="J1082" s="2">
        <v>453</v>
      </c>
      <c r="K1082" s="2">
        <v>283.8</v>
      </c>
      <c r="L1082" s="2">
        <v>38.520000000000003</v>
      </c>
      <c r="M1082" s="2">
        <v>736.8</v>
      </c>
      <c r="N1082" s="2">
        <v>453.04</v>
      </c>
      <c r="O1082" s="2">
        <v>273.76</v>
      </c>
      <c r="P1082" s="2">
        <v>38.51</v>
      </c>
    </row>
    <row r="1083" spans="1:16" x14ac:dyDescent="0.25">
      <c r="A1083" t="s">
        <v>15</v>
      </c>
      <c r="B1083" t="s">
        <v>1293</v>
      </c>
      <c r="C1083" t="s">
        <v>252</v>
      </c>
      <c r="D1083" t="s">
        <v>1442</v>
      </c>
      <c r="E1083" t="s">
        <v>47</v>
      </c>
      <c r="F1083" t="s">
        <v>299</v>
      </c>
      <c r="G1083" s="1">
        <f>45832</f>
        <v>45832</v>
      </c>
      <c r="H1083" t="s">
        <v>2422</v>
      </c>
      <c r="I1083" s="2">
        <v>315</v>
      </c>
      <c r="J1083" s="2">
        <v>205.04</v>
      </c>
      <c r="K1083" s="2">
        <v>109.96</v>
      </c>
      <c r="L1083" s="2">
        <v>34.909999999999997</v>
      </c>
      <c r="M1083" s="2">
        <v>315</v>
      </c>
      <c r="N1083" s="2">
        <v>205.04</v>
      </c>
      <c r="O1083" s="2">
        <v>99.21</v>
      </c>
      <c r="P1083" s="2">
        <v>34.909999999999997</v>
      </c>
    </row>
    <row r="1084" spans="1:16" x14ac:dyDescent="0.25">
      <c r="A1084" t="s">
        <v>15</v>
      </c>
      <c r="B1084" t="s">
        <v>1293</v>
      </c>
      <c r="C1084" t="s">
        <v>252</v>
      </c>
      <c r="D1084" t="s">
        <v>1443</v>
      </c>
      <c r="E1084" t="s">
        <v>47</v>
      </c>
      <c r="F1084" t="s">
        <v>295</v>
      </c>
      <c r="G1084" s="1">
        <f>45833</f>
        <v>45833</v>
      </c>
      <c r="H1084" t="s">
        <v>2422</v>
      </c>
      <c r="I1084" s="2">
        <v>1752.04</v>
      </c>
      <c r="J1084" s="2">
        <v>766.76</v>
      </c>
      <c r="K1084" s="2">
        <v>985.28</v>
      </c>
      <c r="L1084" s="2">
        <v>56.24</v>
      </c>
      <c r="M1084" s="2">
        <v>1752.04</v>
      </c>
      <c r="N1084" s="2">
        <v>509.1</v>
      </c>
      <c r="O1084" s="2">
        <v>1223.94</v>
      </c>
      <c r="P1084" s="2">
        <v>70.94</v>
      </c>
    </row>
    <row r="1085" spans="1:16" x14ac:dyDescent="0.25">
      <c r="A1085" t="s">
        <v>15</v>
      </c>
      <c r="B1085" t="s">
        <v>1293</v>
      </c>
      <c r="C1085" t="s">
        <v>252</v>
      </c>
      <c r="D1085" t="s">
        <v>1444</v>
      </c>
      <c r="E1085" t="s">
        <v>47</v>
      </c>
      <c r="F1085" t="s">
        <v>587</v>
      </c>
      <c r="G1085" s="1">
        <f>45833</f>
        <v>45833</v>
      </c>
      <c r="H1085" t="s">
        <v>2422</v>
      </c>
      <c r="I1085" s="2">
        <v>10955</v>
      </c>
      <c r="J1085" s="2">
        <v>7888</v>
      </c>
      <c r="K1085" s="2">
        <v>3067</v>
      </c>
      <c r="L1085" s="2">
        <v>28</v>
      </c>
      <c r="M1085" s="2">
        <v>10955</v>
      </c>
      <c r="N1085" s="2">
        <v>7888</v>
      </c>
      <c r="O1085" s="2">
        <v>3022</v>
      </c>
      <c r="P1085" s="2">
        <v>28</v>
      </c>
    </row>
    <row r="1086" spans="1:16" x14ac:dyDescent="0.25">
      <c r="A1086" t="s">
        <v>15</v>
      </c>
      <c r="B1086" t="s">
        <v>1293</v>
      </c>
      <c r="C1086" t="s">
        <v>252</v>
      </c>
      <c r="D1086" t="s">
        <v>1445</v>
      </c>
      <c r="E1086" t="s">
        <v>47</v>
      </c>
      <c r="F1086" t="s">
        <v>258</v>
      </c>
      <c r="G1086" s="1">
        <f>45833</f>
        <v>45833</v>
      </c>
      <c r="H1086" t="s">
        <v>2422</v>
      </c>
      <c r="I1086" s="2">
        <v>402</v>
      </c>
      <c r="J1086" s="2">
        <v>228.44</v>
      </c>
      <c r="K1086" s="2">
        <v>173.56</v>
      </c>
      <c r="L1086" s="2">
        <v>43.17</v>
      </c>
      <c r="M1086" s="2">
        <v>402</v>
      </c>
      <c r="N1086" s="2">
        <v>228.46</v>
      </c>
      <c r="O1086" s="2">
        <v>158.15</v>
      </c>
      <c r="P1086" s="2">
        <v>43.17</v>
      </c>
    </row>
    <row r="1087" spans="1:16" x14ac:dyDescent="0.25">
      <c r="A1087" t="s">
        <v>15</v>
      </c>
      <c r="B1087" t="s">
        <v>1293</v>
      </c>
      <c r="C1087" t="s">
        <v>252</v>
      </c>
      <c r="D1087" t="s">
        <v>1446</v>
      </c>
      <c r="E1087" t="s">
        <v>47</v>
      </c>
      <c r="F1087" t="s">
        <v>1067</v>
      </c>
      <c r="G1087" s="1">
        <f>45834</f>
        <v>45834</v>
      </c>
      <c r="H1087" t="s">
        <v>2422</v>
      </c>
      <c r="I1087" s="2">
        <v>792</v>
      </c>
      <c r="J1087" s="2">
        <v>346.96</v>
      </c>
      <c r="K1087" s="2">
        <v>445.04</v>
      </c>
      <c r="L1087" s="2">
        <v>56.19</v>
      </c>
      <c r="M1087" s="2">
        <v>792</v>
      </c>
      <c r="N1087" s="2">
        <v>346.96</v>
      </c>
      <c r="O1087" s="2">
        <v>416.04</v>
      </c>
      <c r="P1087" s="2">
        <v>56.19</v>
      </c>
    </row>
    <row r="1088" spans="1:16" x14ac:dyDescent="0.25">
      <c r="A1088" t="s">
        <v>15</v>
      </c>
      <c r="B1088" t="s">
        <v>1293</v>
      </c>
      <c r="C1088" t="s">
        <v>252</v>
      </c>
      <c r="D1088" t="s">
        <v>1447</v>
      </c>
      <c r="E1088" t="s">
        <v>47</v>
      </c>
      <c r="F1088" t="s">
        <v>272</v>
      </c>
      <c r="G1088" s="1">
        <f>45835</f>
        <v>45835</v>
      </c>
      <c r="H1088" t="s">
        <v>2422</v>
      </c>
      <c r="I1088" s="2">
        <v>391.6</v>
      </c>
      <c r="J1088" s="2">
        <v>279.16000000000003</v>
      </c>
      <c r="K1088" s="2">
        <v>112.44</v>
      </c>
      <c r="L1088" s="2">
        <v>28.71</v>
      </c>
      <c r="M1088" s="2">
        <v>391.6</v>
      </c>
      <c r="N1088" s="2">
        <v>279.16000000000003</v>
      </c>
      <c r="O1088" s="2">
        <v>112.44</v>
      </c>
      <c r="P1088" s="2">
        <v>28.71</v>
      </c>
    </row>
    <row r="1089" spans="1:16" x14ac:dyDescent="0.25">
      <c r="A1089" t="s">
        <v>15</v>
      </c>
      <c r="B1089" t="s">
        <v>1293</v>
      </c>
      <c r="C1089" t="s">
        <v>252</v>
      </c>
      <c r="D1089" t="s">
        <v>1448</v>
      </c>
      <c r="E1089" t="s">
        <v>47</v>
      </c>
      <c r="F1089" t="s">
        <v>279</v>
      </c>
      <c r="G1089" s="1">
        <f>45835</f>
        <v>45835</v>
      </c>
      <c r="H1089" t="s">
        <v>2422</v>
      </c>
      <c r="I1089" s="2">
        <v>302.2</v>
      </c>
      <c r="J1089" s="2">
        <v>191.07</v>
      </c>
      <c r="K1089" s="2">
        <v>111.13</v>
      </c>
      <c r="L1089" s="2">
        <v>36.770000000000003</v>
      </c>
      <c r="M1089" s="2">
        <v>302.2</v>
      </c>
      <c r="N1089" s="2">
        <v>191.07</v>
      </c>
      <c r="O1089" s="2">
        <v>102.13</v>
      </c>
      <c r="P1089" s="2">
        <v>36.770000000000003</v>
      </c>
    </row>
    <row r="1090" spans="1:16" x14ac:dyDescent="0.25">
      <c r="A1090" t="s">
        <v>15</v>
      </c>
      <c r="B1090" t="s">
        <v>1293</v>
      </c>
      <c r="C1090" t="s">
        <v>252</v>
      </c>
      <c r="D1090" t="s">
        <v>1449</v>
      </c>
      <c r="E1090" t="s">
        <v>47</v>
      </c>
      <c r="F1090" t="s">
        <v>272</v>
      </c>
      <c r="G1090" s="1">
        <f>45838</f>
        <v>45838</v>
      </c>
      <c r="H1090" t="s">
        <v>2422</v>
      </c>
      <c r="I1090" s="2">
        <v>1156.99</v>
      </c>
      <c r="J1090" s="2">
        <v>824.77</v>
      </c>
      <c r="K1090" s="2">
        <v>332.22</v>
      </c>
      <c r="L1090" s="2">
        <v>28.71</v>
      </c>
      <c r="M1090" s="2">
        <v>1156.99</v>
      </c>
      <c r="N1090" s="2">
        <v>824.77</v>
      </c>
      <c r="O1090" s="2">
        <v>332.22</v>
      </c>
      <c r="P1090" s="2">
        <v>28.71</v>
      </c>
    </row>
    <row r="1091" spans="1:16" x14ac:dyDescent="0.25">
      <c r="A1091" t="s">
        <v>15</v>
      </c>
      <c r="B1091" t="s">
        <v>1293</v>
      </c>
      <c r="C1091" t="s">
        <v>252</v>
      </c>
      <c r="D1091" t="s">
        <v>1450</v>
      </c>
      <c r="E1091" t="s">
        <v>19</v>
      </c>
      <c r="F1091" t="s">
        <v>265</v>
      </c>
      <c r="G1091" s="1">
        <f>45827</f>
        <v>45827</v>
      </c>
      <c r="H1091" t="s">
        <v>2422</v>
      </c>
      <c r="I1091" s="2">
        <v>2811</v>
      </c>
      <c r="J1091" s="2">
        <v>1837.5</v>
      </c>
      <c r="K1091" s="2">
        <v>973.5</v>
      </c>
      <c r="L1091" s="2">
        <v>34.630000000000003</v>
      </c>
      <c r="M1091" s="2">
        <v>2811</v>
      </c>
      <c r="N1091" s="2">
        <v>1885.5</v>
      </c>
      <c r="O1091" s="2">
        <v>914.5</v>
      </c>
      <c r="P1091" s="2">
        <v>32.92</v>
      </c>
    </row>
    <row r="1092" spans="1:16" x14ac:dyDescent="0.25">
      <c r="A1092" t="s">
        <v>15</v>
      </c>
      <c r="B1092" t="s">
        <v>1293</v>
      </c>
      <c r="C1092" t="s">
        <v>17</v>
      </c>
      <c r="D1092" t="s">
        <v>1451</v>
      </c>
      <c r="E1092" t="s">
        <v>47</v>
      </c>
      <c r="F1092" t="s">
        <v>322</v>
      </c>
      <c r="G1092" s="1">
        <f>45824</f>
        <v>45824</v>
      </c>
      <c r="H1092" t="s">
        <v>2422</v>
      </c>
      <c r="I1092" s="2">
        <v>338.9</v>
      </c>
      <c r="J1092" s="2">
        <v>250.44</v>
      </c>
      <c r="K1092" s="2">
        <v>88.46</v>
      </c>
      <c r="L1092" s="2">
        <v>26.1</v>
      </c>
      <c r="M1092" s="2">
        <v>338.9</v>
      </c>
      <c r="N1092" s="2">
        <v>311.86</v>
      </c>
      <c r="O1092" s="2">
        <v>-56.62</v>
      </c>
      <c r="P1092" s="2">
        <v>7.98</v>
      </c>
    </row>
    <row r="1093" spans="1:16" x14ac:dyDescent="0.25">
      <c r="A1093" t="s">
        <v>15</v>
      </c>
      <c r="B1093" t="s">
        <v>1293</v>
      </c>
      <c r="C1093" t="s">
        <v>17</v>
      </c>
      <c r="D1093" t="s">
        <v>1452</v>
      </c>
      <c r="E1093" t="s">
        <v>47</v>
      </c>
      <c r="F1093" t="s">
        <v>35</v>
      </c>
      <c r="G1093" s="1">
        <f>45810</f>
        <v>45810</v>
      </c>
      <c r="H1093" t="s">
        <v>2422</v>
      </c>
      <c r="I1093" s="2">
        <v>305.48</v>
      </c>
      <c r="J1093" s="2">
        <v>161.62</v>
      </c>
      <c r="K1093" s="2">
        <v>143.86000000000001</v>
      </c>
      <c r="L1093" s="2">
        <v>47.09</v>
      </c>
      <c r="M1093" s="2">
        <v>305.48</v>
      </c>
      <c r="N1093" s="2">
        <v>162.51</v>
      </c>
      <c r="O1093" s="2">
        <v>73.97</v>
      </c>
      <c r="P1093" s="2">
        <v>46.8</v>
      </c>
    </row>
    <row r="1094" spans="1:16" x14ac:dyDescent="0.25">
      <c r="A1094" t="s">
        <v>15</v>
      </c>
      <c r="B1094" t="s">
        <v>1293</v>
      </c>
      <c r="C1094" t="s">
        <v>17</v>
      </c>
      <c r="D1094" t="s">
        <v>1453</v>
      </c>
      <c r="E1094" t="s">
        <v>47</v>
      </c>
      <c r="F1094" t="s">
        <v>311</v>
      </c>
      <c r="G1094" s="1">
        <f>45810</f>
        <v>45810</v>
      </c>
      <c r="H1094" t="s">
        <v>2422</v>
      </c>
      <c r="I1094" s="2">
        <v>10980</v>
      </c>
      <c r="J1094" s="2">
        <v>6320.8</v>
      </c>
      <c r="K1094" s="2">
        <v>4659.2</v>
      </c>
      <c r="L1094" s="2">
        <v>42.43</v>
      </c>
      <c r="M1094" s="2">
        <v>10980</v>
      </c>
      <c r="N1094" s="2">
        <v>3971.15</v>
      </c>
      <c r="O1094" s="2">
        <v>6928.85</v>
      </c>
      <c r="P1094" s="2">
        <v>63.83</v>
      </c>
    </row>
    <row r="1095" spans="1:16" x14ac:dyDescent="0.25">
      <c r="A1095" t="s">
        <v>15</v>
      </c>
      <c r="B1095" t="s">
        <v>1293</v>
      </c>
      <c r="C1095" t="s">
        <v>17</v>
      </c>
      <c r="D1095" t="s">
        <v>1454</v>
      </c>
      <c r="E1095" t="s">
        <v>47</v>
      </c>
      <c r="F1095" t="s">
        <v>621</v>
      </c>
      <c r="G1095" s="1">
        <f>45810</f>
        <v>45810</v>
      </c>
      <c r="H1095" t="s">
        <v>2422</v>
      </c>
      <c r="I1095" s="2">
        <v>378.5</v>
      </c>
      <c r="J1095" s="2">
        <v>248.01</v>
      </c>
      <c r="K1095" s="2">
        <v>130.49</v>
      </c>
      <c r="L1095" s="2">
        <v>34.479999999999997</v>
      </c>
      <c r="M1095" s="2">
        <v>378.5</v>
      </c>
      <c r="N1095" s="2">
        <v>248.01</v>
      </c>
      <c r="O1095" s="2">
        <v>93.49</v>
      </c>
      <c r="P1095" s="2">
        <v>34.479999999999997</v>
      </c>
    </row>
    <row r="1096" spans="1:16" x14ac:dyDescent="0.25">
      <c r="A1096" t="s">
        <v>15</v>
      </c>
      <c r="B1096" t="s">
        <v>1293</v>
      </c>
      <c r="C1096" t="s">
        <v>17</v>
      </c>
      <c r="D1096" t="s">
        <v>1455</v>
      </c>
      <c r="E1096" t="s">
        <v>47</v>
      </c>
      <c r="F1096" t="s">
        <v>889</v>
      </c>
      <c r="G1096" s="1">
        <f>45813</f>
        <v>45813</v>
      </c>
      <c r="H1096" t="s">
        <v>2422</v>
      </c>
      <c r="I1096" s="2">
        <v>327.60000000000002</v>
      </c>
      <c r="J1096" s="2">
        <v>214.1</v>
      </c>
      <c r="K1096" s="2">
        <v>113.5</v>
      </c>
      <c r="L1096" s="2">
        <v>34.65</v>
      </c>
      <c r="M1096" s="2">
        <v>327.60000000000002</v>
      </c>
      <c r="N1096" s="2">
        <v>214.1</v>
      </c>
      <c r="O1096" s="2">
        <v>69.5</v>
      </c>
      <c r="P1096" s="2">
        <v>34.65</v>
      </c>
    </row>
    <row r="1097" spans="1:16" x14ac:dyDescent="0.25">
      <c r="A1097" t="s">
        <v>15</v>
      </c>
      <c r="B1097" t="s">
        <v>1293</v>
      </c>
      <c r="C1097" t="s">
        <v>17</v>
      </c>
      <c r="D1097" t="s">
        <v>1456</v>
      </c>
      <c r="E1097" t="s">
        <v>47</v>
      </c>
      <c r="F1097" t="s">
        <v>311</v>
      </c>
      <c r="G1097" s="1">
        <f>45813</f>
        <v>45813</v>
      </c>
      <c r="H1097" t="s">
        <v>2422</v>
      </c>
      <c r="I1097" s="2">
        <v>184.5</v>
      </c>
      <c r="J1097" s="2">
        <v>74</v>
      </c>
      <c r="K1097" s="2">
        <v>110.5</v>
      </c>
      <c r="L1097" s="2">
        <v>59.89</v>
      </c>
      <c r="M1097" s="2">
        <v>184.5</v>
      </c>
      <c r="N1097" s="2">
        <v>74</v>
      </c>
      <c r="O1097" s="2">
        <v>101.5</v>
      </c>
      <c r="P1097" s="2">
        <v>59.89</v>
      </c>
    </row>
    <row r="1098" spans="1:16" x14ac:dyDescent="0.25">
      <c r="A1098" t="s">
        <v>15</v>
      </c>
      <c r="B1098" t="s">
        <v>1293</v>
      </c>
      <c r="C1098" t="s">
        <v>17</v>
      </c>
      <c r="D1098" t="s">
        <v>1457</v>
      </c>
      <c r="E1098" t="s">
        <v>19</v>
      </c>
      <c r="F1098" t="s">
        <v>322</v>
      </c>
      <c r="G1098" s="1">
        <f>45819</f>
        <v>45819</v>
      </c>
      <c r="H1098" t="s">
        <v>56</v>
      </c>
      <c r="I1098" s="2">
        <v>1548</v>
      </c>
      <c r="J1098" s="2">
        <v>978.24</v>
      </c>
      <c r="K1098" s="2">
        <v>569.76</v>
      </c>
      <c r="L1098" s="2">
        <v>36.81</v>
      </c>
      <c r="M1098" s="2">
        <v>1548</v>
      </c>
      <c r="N1098" s="2">
        <v>978.26</v>
      </c>
      <c r="O1098" s="2">
        <v>562.25</v>
      </c>
      <c r="P1098" s="2">
        <v>36.799999999999997</v>
      </c>
    </row>
    <row r="1099" spans="1:16" x14ac:dyDescent="0.25">
      <c r="A1099" t="s">
        <v>15</v>
      </c>
      <c r="B1099" t="s">
        <v>1293</v>
      </c>
      <c r="C1099" t="s">
        <v>17</v>
      </c>
      <c r="D1099" t="s">
        <v>1458</v>
      </c>
      <c r="E1099" t="s">
        <v>19</v>
      </c>
      <c r="F1099" t="s">
        <v>613</v>
      </c>
      <c r="G1099" s="1">
        <f>45819</f>
        <v>45819</v>
      </c>
      <c r="H1099" t="s">
        <v>56</v>
      </c>
      <c r="I1099" s="2">
        <v>183.5</v>
      </c>
      <c r="J1099" s="2">
        <v>112.6</v>
      </c>
      <c r="K1099" s="2">
        <v>70.900000000000006</v>
      </c>
      <c r="L1099" s="2">
        <v>38.64</v>
      </c>
      <c r="M1099" s="2">
        <v>183.5</v>
      </c>
      <c r="N1099" s="2">
        <v>112.6</v>
      </c>
      <c r="O1099" s="2">
        <v>60.9</v>
      </c>
      <c r="P1099" s="2">
        <v>38.64</v>
      </c>
    </row>
    <row r="1100" spans="1:16" x14ac:dyDescent="0.25">
      <c r="A1100" t="s">
        <v>15</v>
      </c>
      <c r="B1100" t="s">
        <v>1293</v>
      </c>
      <c r="C1100" t="s">
        <v>17</v>
      </c>
      <c r="D1100" t="s">
        <v>1459</v>
      </c>
      <c r="E1100" t="s">
        <v>19</v>
      </c>
      <c r="F1100" t="s">
        <v>350</v>
      </c>
      <c r="G1100" s="1">
        <f>45820</f>
        <v>45820</v>
      </c>
      <c r="H1100" t="s">
        <v>56</v>
      </c>
      <c r="I1100" s="2">
        <v>757.6</v>
      </c>
      <c r="J1100" s="2">
        <v>486.2</v>
      </c>
      <c r="K1100" s="2">
        <v>271.39999999999998</v>
      </c>
      <c r="L1100" s="2">
        <v>35.82</v>
      </c>
      <c r="M1100" s="2">
        <v>757.6</v>
      </c>
      <c r="N1100" s="2">
        <v>486.2</v>
      </c>
      <c r="O1100" s="2">
        <v>231.4</v>
      </c>
      <c r="P1100" s="2">
        <v>35.82</v>
      </c>
    </row>
    <row r="1101" spans="1:16" x14ac:dyDescent="0.25">
      <c r="A1101" t="s">
        <v>15</v>
      </c>
      <c r="B1101" t="s">
        <v>1293</v>
      </c>
      <c r="C1101" t="s">
        <v>17</v>
      </c>
      <c r="D1101" t="s">
        <v>1460</v>
      </c>
      <c r="E1101" t="s">
        <v>19</v>
      </c>
      <c r="F1101" t="s">
        <v>324</v>
      </c>
      <c r="G1101" s="1">
        <f>45820</f>
        <v>45820</v>
      </c>
      <c r="H1101" t="s">
        <v>56</v>
      </c>
      <c r="I1101" s="2">
        <v>1583.25</v>
      </c>
      <c r="J1101" s="2">
        <v>567.35</v>
      </c>
      <c r="K1101" s="2">
        <v>1015.9</v>
      </c>
      <c r="L1101" s="2">
        <v>64.17</v>
      </c>
      <c r="M1101" s="2">
        <v>1583.25</v>
      </c>
      <c r="N1101" s="2">
        <v>567.35</v>
      </c>
      <c r="O1101" s="2">
        <v>988.9</v>
      </c>
      <c r="P1101" s="2">
        <v>64.17</v>
      </c>
    </row>
    <row r="1102" spans="1:16" x14ac:dyDescent="0.25">
      <c r="A1102" t="s">
        <v>15</v>
      </c>
      <c r="B1102" t="s">
        <v>1293</v>
      </c>
      <c r="C1102" t="s">
        <v>17</v>
      </c>
      <c r="D1102" t="s">
        <v>1461</v>
      </c>
      <c r="E1102" t="s">
        <v>19</v>
      </c>
      <c r="F1102" t="s">
        <v>873</v>
      </c>
      <c r="G1102" s="1">
        <f>45820</f>
        <v>45820</v>
      </c>
      <c r="H1102" t="s">
        <v>56</v>
      </c>
      <c r="I1102" s="2">
        <v>2740.69</v>
      </c>
      <c r="J1102" s="2">
        <v>1750</v>
      </c>
      <c r="K1102" s="2">
        <v>990.69</v>
      </c>
      <c r="L1102" s="2">
        <v>36.15</v>
      </c>
      <c r="M1102" s="2">
        <v>2740.69</v>
      </c>
      <c r="N1102" s="2">
        <v>1750</v>
      </c>
      <c r="O1102" s="2">
        <v>852.69</v>
      </c>
      <c r="P1102" s="2">
        <v>36.15</v>
      </c>
    </row>
    <row r="1103" spans="1:16" x14ac:dyDescent="0.25">
      <c r="A1103" t="s">
        <v>15</v>
      </c>
      <c r="B1103" t="s">
        <v>1293</v>
      </c>
      <c r="C1103" t="s">
        <v>17</v>
      </c>
      <c r="D1103" t="s">
        <v>1462</v>
      </c>
      <c r="E1103" t="s">
        <v>19</v>
      </c>
      <c r="F1103" t="s">
        <v>320</v>
      </c>
      <c r="G1103" s="1">
        <f>45820</f>
        <v>45820</v>
      </c>
      <c r="H1103" t="s">
        <v>56</v>
      </c>
      <c r="I1103" s="2">
        <v>448.37</v>
      </c>
      <c r="J1103" s="2">
        <v>298.93</v>
      </c>
      <c r="K1103" s="2">
        <v>149.44</v>
      </c>
      <c r="L1103" s="2">
        <v>33.33</v>
      </c>
      <c r="M1103" s="2">
        <v>448.37</v>
      </c>
      <c r="N1103" s="2">
        <v>298.93</v>
      </c>
      <c r="O1103" s="2">
        <v>125.44</v>
      </c>
      <c r="P1103" s="2">
        <v>33.33</v>
      </c>
    </row>
    <row r="1104" spans="1:16" x14ac:dyDescent="0.25">
      <c r="A1104" t="s">
        <v>15</v>
      </c>
      <c r="B1104" t="s">
        <v>1293</v>
      </c>
      <c r="C1104" t="s">
        <v>17</v>
      </c>
      <c r="D1104" t="s">
        <v>1463</v>
      </c>
      <c r="E1104" t="s">
        <v>19</v>
      </c>
      <c r="F1104" t="s">
        <v>331</v>
      </c>
      <c r="G1104" s="1">
        <f>45821</f>
        <v>45821</v>
      </c>
      <c r="H1104" t="s">
        <v>56</v>
      </c>
      <c r="I1104" s="2">
        <v>6272.4</v>
      </c>
      <c r="J1104" s="2">
        <v>4258.92</v>
      </c>
      <c r="K1104" s="2">
        <v>2013.48</v>
      </c>
      <c r="L1104" s="2">
        <v>32.1</v>
      </c>
      <c r="M1104" s="2">
        <v>6272.4</v>
      </c>
      <c r="N1104" s="2">
        <v>4258.93</v>
      </c>
      <c r="O1104" s="2">
        <v>1971.47</v>
      </c>
      <c r="P1104" s="2">
        <v>32.1</v>
      </c>
    </row>
    <row r="1105" spans="1:16" x14ac:dyDescent="0.25">
      <c r="A1105" t="s">
        <v>15</v>
      </c>
      <c r="B1105" t="s">
        <v>1293</v>
      </c>
      <c r="C1105" t="s">
        <v>17</v>
      </c>
      <c r="D1105" t="s">
        <v>1464</v>
      </c>
      <c r="E1105" t="s">
        <v>47</v>
      </c>
      <c r="F1105" t="s">
        <v>649</v>
      </c>
      <c r="G1105" s="1">
        <f>45824</f>
        <v>45824</v>
      </c>
      <c r="H1105" t="s">
        <v>2422</v>
      </c>
      <c r="I1105" s="2">
        <v>235</v>
      </c>
      <c r="J1105" s="2">
        <v>121.2</v>
      </c>
      <c r="K1105" s="2">
        <v>113.8</v>
      </c>
      <c r="L1105" s="2">
        <v>48.43</v>
      </c>
      <c r="M1105" s="2">
        <v>235</v>
      </c>
      <c r="N1105" s="2">
        <v>121.2</v>
      </c>
      <c r="O1105" s="2">
        <v>104.8</v>
      </c>
      <c r="P1105" s="2">
        <v>48.43</v>
      </c>
    </row>
    <row r="1106" spans="1:16" x14ac:dyDescent="0.25">
      <c r="A1106" t="s">
        <v>15</v>
      </c>
      <c r="B1106" t="s">
        <v>1293</v>
      </c>
      <c r="C1106" t="s">
        <v>17</v>
      </c>
      <c r="D1106" t="s">
        <v>1465</v>
      </c>
      <c r="E1106" t="s">
        <v>47</v>
      </c>
      <c r="F1106" t="s">
        <v>1279</v>
      </c>
      <c r="G1106" s="1">
        <f>45824</f>
        <v>45824</v>
      </c>
      <c r="H1106" t="s">
        <v>2422</v>
      </c>
      <c r="I1106" s="2">
        <v>299.39999999999998</v>
      </c>
      <c r="J1106" s="2">
        <v>171.98</v>
      </c>
      <c r="K1106" s="2">
        <v>127.42</v>
      </c>
      <c r="L1106" s="2">
        <v>42.56</v>
      </c>
      <c r="M1106" s="2">
        <v>299.39999999999998</v>
      </c>
      <c r="N1106" s="2">
        <v>171.98</v>
      </c>
      <c r="O1106" s="2">
        <v>90.42</v>
      </c>
      <c r="P1106" s="2">
        <v>42.56</v>
      </c>
    </row>
    <row r="1107" spans="1:16" x14ac:dyDescent="0.25">
      <c r="A1107" t="s">
        <v>15</v>
      </c>
      <c r="B1107" t="s">
        <v>1293</v>
      </c>
      <c r="C1107" t="s">
        <v>17</v>
      </c>
      <c r="D1107" t="s">
        <v>1466</v>
      </c>
      <c r="E1107" t="s">
        <v>47</v>
      </c>
      <c r="F1107" t="s">
        <v>1467</v>
      </c>
      <c r="G1107" s="1">
        <f>45824</f>
        <v>45824</v>
      </c>
      <c r="H1107" t="s">
        <v>2422</v>
      </c>
      <c r="I1107" s="2">
        <v>595.5</v>
      </c>
      <c r="J1107" s="2">
        <v>388.83</v>
      </c>
      <c r="K1107" s="2">
        <v>206.67</v>
      </c>
      <c r="L1107" s="2">
        <v>34.71</v>
      </c>
      <c r="M1107" s="2">
        <v>595.5</v>
      </c>
      <c r="N1107" s="2">
        <v>388.82</v>
      </c>
      <c r="O1107" s="2">
        <v>157.68</v>
      </c>
      <c r="P1107" s="2">
        <v>34.71</v>
      </c>
    </row>
    <row r="1108" spans="1:16" x14ac:dyDescent="0.25">
      <c r="A1108" t="s">
        <v>15</v>
      </c>
      <c r="B1108" t="s">
        <v>1293</v>
      </c>
      <c r="C1108" t="s">
        <v>17</v>
      </c>
      <c r="D1108" t="s">
        <v>1468</v>
      </c>
      <c r="E1108" t="s">
        <v>47</v>
      </c>
      <c r="F1108" t="s">
        <v>26</v>
      </c>
      <c r="G1108" s="1">
        <f>45825</f>
        <v>45825</v>
      </c>
      <c r="H1108" t="s">
        <v>2422</v>
      </c>
      <c r="I1108" s="2">
        <v>1426.5</v>
      </c>
      <c r="J1108" s="2">
        <v>878.5</v>
      </c>
      <c r="K1108" s="2">
        <v>548</v>
      </c>
      <c r="L1108" s="2">
        <v>38.42</v>
      </c>
      <c r="M1108" s="2">
        <v>1426.5</v>
      </c>
      <c r="N1108" s="2">
        <v>878.5</v>
      </c>
      <c r="O1108" s="2">
        <v>511</v>
      </c>
      <c r="P1108" s="2">
        <v>38.42</v>
      </c>
    </row>
    <row r="1109" spans="1:16" x14ac:dyDescent="0.25">
      <c r="A1109" t="s">
        <v>15</v>
      </c>
      <c r="B1109" t="s">
        <v>1293</v>
      </c>
      <c r="C1109" t="s">
        <v>17</v>
      </c>
      <c r="D1109" t="s">
        <v>1469</v>
      </c>
      <c r="E1109" t="s">
        <v>47</v>
      </c>
      <c r="F1109" t="s">
        <v>337</v>
      </c>
      <c r="G1109" s="1">
        <f>45825</f>
        <v>45825</v>
      </c>
      <c r="H1109" t="s">
        <v>2422</v>
      </c>
      <c r="I1109" s="2">
        <v>170</v>
      </c>
      <c r="J1109" s="2">
        <v>88.5</v>
      </c>
      <c r="K1109" s="2">
        <v>81.5</v>
      </c>
      <c r="L1109" s="2">
        <v>47.94</v>
      </c>
      <c r="M1109" s="2">
        <v>170</v>
      </c>
      <c r="N1109" s="2">
        <v>88.5</v>
      </c>
      <c r="O1109" s="2">
        <v>55.5</v>
      </c>
      <c r="P1109" s="2">
        <v>47.94</v>
      </c>
    </row>
    <row r="1110" spans="1:16" x14ac:dyDescent="0.25">
      <c r="A1110" t="s">
        <v>15</v>
      </c>
      <c r="B1110" t="s">
        <v>1293</v>
      </c>
      <c r="C1110" t="s">
        <v>17</v>
      </c>
      <c r="D1110" t="s">
        <v>1470</v>
      </c>
      <c r="E1110" t="s">
        <v>47</v>
      </c>
      <c r="F1110" t="s">
        <v>617</v>
      </c>
      <c r="G1110" s="1">
        <f>45825</f>
        <v>45825</v>
      </c>
      <c r="H1110" t="s">
        <v>2422</v>
      </c>
      <c r="I1110" s="2">
        <v>210</v>
      </c>
      <c r="J1110" s="2">
        <v>149.66</v>
      </c>
      <c r="K1110" s="2">
        <v>60.34</v>
      </c>
      <c r="L1110" s="2">
        <v>28.73</v>
      </c>
      <c r="M1110" s="2">
        <v>210</v>
      </c>
      <c r="N1110" s="2">
        <v>208.99</v>
      </c>
      <c r="O1110" s="2">
        <v>-29.99</v>
      </c>
      <c r="P1110" s="2">
        <v>0.48</v>
      </c>
    </row>
    <row r="1111" spans="1:16" x14ac:dyDescent="0.25">
      <c r="A1111" t="s">
        <v>15</v>
      </c>
      <c r="B1111" t="s">
        <v>1293</v>
      </c>
      <c r="C1111" t="s">
        <v>17</v>
      </c>
      <c r="D1111" t="s">
        <v>1471</v>
      </c>
      <c r="E1111" t="s">
        <v>47</v>
      </c>
      <c r="F1111" t="s">
        <v>339</v>
      </c>
      <c r="G1111" s="1">
        <f>45825</f>
        <v>45825</v>
      </c>
      <c r="H1111" t="s">
        <v>2422</v>
      </c>
      <c r="I1111" s="2">
        <v>327.7</v>
      </c>
      <c r="J1111" s="2">
        <v>194.7</v>
      </c>
      <c r="K1111" s="2">
        <v>133</v>
      </c>
      <c r="L1111" s="2">
        <v>40.590000000000003</v>
      </c>
      <c r="M1111" s="2">
        <v>327.7</v>
      </c>
      <c r="N1111" s="2">
        <v>194.7</v>
      </c>
      <c r="O1111" s="2">
        <v>99</v>
      </c>
      <c r="P1111" s="2">
        <v>40.590000000000003</v>
      </c>
    </row>
    <row r="1112" spans="1:16" x14ac:dyDescent="0.25">
      <c r="A1112" t="s">
        <v>15</v>
      </c>
      <c r="B1112" t="s">
        <v>1293</v>
      </c>
      <c r="C1112" t="s">
        <v>17</v>
      </c>
      <c r="D1112" t="s">
        <v>1472</v>
      </c>
      <c r="E1112" t="s">
        <v>47</v>
      </c>
      <c r="F1112" t="s">
        <v>316</v>
      </c>
      <c r="G1112" s="1">
        <f>45825</f>
        <v>45825</v>
      </c>
      <c r="H1112" t="s">
        <v>2422</v>
      </c>
      <c r="I1112" s="2">
        <v>1114.2</v>
      </c>
      <c r="J1112" s="2">
        <v>702.37</v>
      </c>
      <c r="K1112" s="2">
        <v>411.83</v>
      </c>
      <c r="L1112" s="2">
        <v>36.96</v>
      </c>
      <c r="M1112" s="2">
        <v>1114.2</v>
      </c>
      <c r="N1112" s="2">
        <v>702.37</v>
      </c>
      <c r="O1112" s="2">
        <v>347.83</v>
      </c>
      <c r="P1112" s="2">
        <v>36.96</v>
      </c>
    </row>
    <row r="1113" spans="1:16" x14ac:dyDescent="0.25">
      <c r="A1113" t="s">
        <v>15</v>
      </c>
      <c r="B1113" t="s">
        <v>1293</v>
      </c>
      <c r="C1113" t="s">
        <v>17</v>
      </c>
      <c r="D1113" t="s">
        <v>1473</v>
      </c>
      <c r="E1113" t="s">
        <v>47</v>
      </c>
      <c r="F1113" t="s">
        <v>613</v>
      </c>
      <c r="G1113" s="1">
        <f>45826</f>
        <v>45826</v>
      </c>
      <c r="H1113" t="s">
        <v>2422</v>
      </c>
      <c r="I1113" s="2">
        <v>1033.4000000000001</v>
      </c>
      <c r="J1113" s="2">
        <v>658.98</v>
      </c>
      <c r="K1113" s="2">
        <v>374.42</v>
      </c>
      <c r="L1113" s="2">
        <v>36.229999999999997</v>
      </c>
      <c r="M1113" s="2">
        <v>1033.4000000000001</v>
      </c>
      <c r="N1113" s="2">
        <v>658.98</v>
      </c>
      <c r="O1113" s="2">
        <v>334.42</v>
      </c>
      <c r="P1113" s="2">
        <v>36.229999999999997</v>
      </c>
    </row>
    <row r="1114" spans="1:16" x14ac:dyDescent="0.25">
      <c r="A1114" t="s">
        <v>15</v>
      </c>
      <c r="B1114" t="s">
        <v>1293</v>
      </c>
      <c r="C1114" t="s">
        <v>17</v>
      </c>
      <c r="D1114" t="s">
        <v>1474</v>
      </c>
      <c r="E1114" t="s">
        <v>47</v>
      </c>
      <c r="F1114" t="s">
        <v>311</v>
      </c>
      <c r="G1114" s="1">
        <f>45826</f>
        <v>45826</v>
      </c>
      <c r="H1114" t="s">
        <v>2422</v>
      </c>
      <c r="I1114" s="2">
        <v>620.79999999999995</v>
      </c>
      <c r="J1114" s="2">
        <v>415</v>
      </c>
      <c r="K1114" s="2">
        <v>205.8</v>
      </c>
      <c r="L1114" s="2">
        <v>33.15</v>
      </c>
      <c r="M1114" s="2">
        <v>620.79999999999995</v>
      </c>
      <c r="N1114" s="2">
        <v>415</v>
      </c>
      <c r="O1114" s="2">
        <v>165.8</v>
      </c>
      <c r="P1114" s="2">
        <v>33.15</v>
      </c>
    </row>
    <row r="1115" spans="1:16" x14ac:dyDescent="0.25">
      <c r="A1115" t="s">
        <v>15</v>
      </c>
      <c r="B1115" t="s">
        <v>1293</v>
      </c>
      <c r="C1115" t="s">
        <v>17</v>
      </c>
      <c r="D1115" t="s">
        <v>1475</v>
      </c>
      <c r="E1115" t="s">
        <v>47</v>
      </c>
      <c r="F1115" t="s">
        <v>896</v>
      </c>
      <c r="G1115" s="1">
        <f>45827</f>
        <v>45827</v>
      </c>
      <c r="H1115" t="s">
        <v>2422</v>
      </c>
      <c r="I1115" s="2">
        <v>2270.85</v>
      </c>
      <c r="J1115" s="2">
        <v>1567</v>
      </c>
      <c r="K1115" s="2">
        <v>703.85</v>
      </c>
      <c r="L1115" s="2">
        <v>31</v>
      </c>
      <c r="M1115" s="2">
        <v>2270.85</v>
      </c>
      <c r="N1115" s="2">
        <v>1567</v>
      </c>
      <c r="O1115" s="2">
        <v>694.85</v>
      </c>
      <c r="P1115" s="2">
        <v>31</v>
      </c>
    </row>
    <row r="1116" spans="1:16" x14ac:dyDescent="0.25">
      <c r="A1116" t="s">
        <v>15</v>
      </c>
      <c r="B1116" t="s">
        <v>1293</v>
      </c>
      <c r="C1116" t="s">
        <v>17</v>
      </c>
      <c r="D1116" t="s">
        <v>1476</v>
      </c>
      <c r="E1116" t="s">
        <v>47</v>
      </c>
      <c r="F1116" t="s">
        <v>1477</v>
      </c>
      <c r="G1116" s="1">
        <f>45827</f>
        <v>45827</v>
      </c>
      <c r="H1116" t="s">
        <v>2422</v>
      </c>
      <c r="I1116" s="2">
        <v>1016.4</v>
      </c>
      <c r="J1116" s="2">
        <v>712.18</v>
      </c>
      <c r="K1116" s="2">
        <v>304.22000000000003</v>
      </c>
      <c r="L1116" s="2">
        <v>29.93</v>
      </c>
      <c r="M1116" s="2">
        <v>1016.4</v>
      </c>
      <c r="N1116" s="2">
        <v>712.18</v>
      </c>
      <c r="O1116" s="2">
        <v>304.22000000000003</v>
      </c>
      <c r="P1116" s="2">
        <v>29.93</v>
      </c>
    </row>
    <row r="1117" spans="1:16" x14ac:dyDescent="0.25">
      <c r="A1117" t="s">
        <v>15</v>
      </c>
      <c r="B1117" t="s">
        <v>1293</v>
      </c>
      <c r="C1117" t="s">
        <v>17</v>
      </c>
      <c r="D1117" t="s">
        <v>1478</v>
      </c>
      <c r="E1117" t="s">
        <v>47</v>
      </c>
      <c r="F1117" t="s">
        <v>26</v>
      </c>
      <c r="G1117" s="1">
        <f>45828</f>
        <v>45828</v>
      </c>
      <c r="H1117" t="s">
        <v>2422</v>
      </c>
      <c r="I1117" s="2">
        <v>720.4</v>
      </c>
      <c r="J1117" s="2">
        <v>461.86</v>
      </c>
      <c r="K1117" s="2">
        <v>258.54000000000002</v>
      </c>
      <c r="L1117" s="2">
        <v>35.89</v>
      </c>
      <c r="M1117" s="2">
        <v>720.4</v>
      </c>
      <c r="N1117" s="2">
        <v>461.86</v>
      </c>
      <c r="O1117" s="2">
        <v>219.54</v>
      </c>
      <c r="P1117" s="2">
        <v>35.89</v>
      </c>
    </row>
    <row r="1118" spans="1:16" x14ac:dyDescent="0.25">
      <c r="A1118" t="s">
        <v>15</v>
      </c>
      <c r="B1118" t="s">
        <v>1293</v>
      </c>
      <c r="C1118" t="s">
        <v>17</v>
      </c>
      <c r="D1118" t="s">
        <v>1479</v>
      </c>
      <c r="E1118" t="s">
        <v>47</v>
      </c>
      <c r="F1118" t="s">
        <v>318</v>
      </c>
      <c r="G1118" s="1">
        <f>45828</f>
        <v>45828</v>
      </c>
      <c r="H1118" t="s">
        <v>2422</v>
      </c>
      <c r="I1118" s="2">
        <v>807.6</v>
      </c>
      <c r="J1118" s="2">
        <v>532.15</v>
      </c>
      <c r="K1118" s="2">
        <v>275.45</v>
      </c>
      <c r="L1118" s="2">
        <v>34.11</v>
      </c>
      <c r="M1118" s="2">
        <v>807.6</v>
      </c>
      <c r="N1118" s="2">
        <v>532.15</v>
      </c>
      <c r="O1118" s="2">
        <v>225.45</v>
      </c>
      <c r="P1118" s="2">
        <v>34.11</v>
      </c>
    </row>
    <row r="1119" spans="1:16" x14ac:dyDescent="0.25">
      <c r="A1119" t="s">
        <v>15</v>
      </c>
      <c r="B1119" t="s">
        <v>1293</v>
      </c>
      <c r="C1119" t="s">
        <v>17</v>
      </c>
      <c r="D1119" t="s">
        <v>1480</v>
      </c>
      <c r="E1119" t="s">
        <v>47</v>
      </c>
      <c r="F1119" t="s">
        <v>370</v>
      </c>
      <c r="G1119" s="1">
        <f>45828</f>
        <v>45828</v>
      </c>
      <c r="H1119" t="s">
        <v>2422</v>
      </c>
      <c r="I1119" s="2">
        <v>156.19</v>
      </c>
      <c r="J1119" s="2">
        <v>102.9</v>
      </c>
      <c r="K1119" s="2">
        <v>53.29</v>
      </c>
      <c r="L1119" s="2">
        <v>34.119999999999997</v>
      </c>
      <c r="M1119" s="2">
        <v>156.19</v>
      </c>
      <c r="N1119" s="2">
        <v>102.9</v>
      </c>
      <c r="O1119" s="2">
        <v>42.45</v>
      </c>
      <c r="P1119" s="2">
        <v>34.119999999999997</v>
      </c>
    </row>
    <row r="1120" spans="1:16" x14ac:dyDescent="0.25">
      <c r="A1120" t="s">
        <v>15</v>
      </c>
      <c r="B1120" t="s">
        <v>1293</v>
      </c>
      <c r="C1120" t="s">
        <v>17</v>
      </c>
      <c r="D1120" t="s">
        <v>1481</v>
      </c>
      <c r="E1120" t="s">
        <v>47</v>
      </c>
      <c r="F1120" t="s">
        <v>353</v>
      </c>
      <c r="G1120" s="1">
        <f>45831</f>
        <v>45831</v>
      </c>
      <c r="H1120" t="s">
        <v>2422</v>
      </c>
      <c r="I1120" s="2">
        <v>1622.6</v>
      </c>
      <c r="J1120" s="2">
        <v>1110.74</v>
      </c>
      <c r="K1120" s="2">
        <v>511.86</v>
      </c>
      <c r="L1120" s="2">
        <v>31.55</v>
      </c>
      <c r="M1120" s="2">
        <v>1622.6</v>
      </c>
      <c r="N1120" s="2">
        <v>1110.74</v>
      </c>
      <c r="O1120" s="2">
        <v>401.86</v>
      </c>
      <c r="P1120" s="2">
        <v>31.55</v>
      </c>
    </row>
    <row r="1121" spans="1:16" x14ac:dyDescent="0.25">
      <c r="A1121" t="s">
        <v>15</v>
      </c>
      <c r="B1121" t="s">
        <v>1293</v>
      </c>
      <c r="C1121" t="s">
        <v>17</v>
      </c>
      <c r="D1121" t="s">
        <v>1482</v>
      </c>
      <c r="E1121" t="s">
        <v>47</v>
      </c>
      <c r="F1121" t="s">
        <v>33</v>
      </c>
      <c r="G1121" s="1">
        <f>45831</f>
        <v>45831</v>
      </c>
      <c r="H1121" t="s">
        <v>2422</v>
      </c>
      <c r="I1121" s="2">
        <v>1208.0999999999999</v>
      </c>
      <c r="J1121" s="2">
        <v>863.12</v>
      </c>
      <c r="K1121" s="2">
        <v>344.98</v>
      </c>
      <c r="L1121" s="2">
        <v>28.56</v>
      </c>
      <c r="M1121" s="2">
        <v>1208.0999999999999</v>
      </c>
      <c r="N1121" s="2">
        <v>863.12</v>
      </c>
      <c r="O1121" s="2">
        <v>265.98</v>
      </c>
      <c r="P1121" s="2">
        <v>28.56</v>
      </c>
    </row>
    <row r="1122" spans="1:16" x14ac:dyDescent="0.25">
      <c r="A1122" t="s">
        <v>15</v>
      </c>
      <c r="B1122" t="s">
        <v>1293</v>
      </c>
      <c r="C1122" t="s">
        <v>17</v>
      </c>
      <c r="D1122" t="s">
        <v>1483</v>
      </c>
      <c r="E1122" t="s">
        <v>47</v>
      </c>
      <c r="F1122" t="s">
        <v>1484</v>
      </c>
      <c r="G1122" s="1">
        <f>45832</f>
        <v>45832</v>
      </c>
      <c r="H1122" t="s">
        <v>2422</v>
      </c>
      <c r="I1122" s="2">
        <v>393.7</v>
      </c>
      <c r="J1122" s="2">
        <v>288.24</v>
      </c>
      <c r="K1122" s="2">
        <v>105.46</v>
      </c>
      <c r="L1122" s="2">
        <v>26.79</v>
      </c>
      <c r="M1122" s="2">
        <v>393.7</v>
      </c>
      <c r="N1122" s="2">
        <v>288.24</v>
      </c>
      <c r="O1122" s="2">
        <v>63.46</v>
      </c>
      <c r="P1122" s="2">
        <v>26.79</v>
      </c>
    </row>
    <row r="1123" spans="1:16" x14ac:dyDescent="0.25">
      <c r="A1123" t="s">
        <v>15</v>
      </c>
      <c r="B1123" t="s">
        <v>1293</v>
      </c>
      <c r="C1123" t="s">
        <v>17</v>
      </c>
      <c r="D1123" t="s">
        <v>1485</v>
      </c>
      <c r="E1123" t="s">
        <v>47</v>
      </c>
      <c r="F1123" t="s">
        <v>1270</v>
      </c>
      <c r="G1123" s="1">
        <f>45832</f>
        <v>45832</v>
      </c>
      <c r="H1123" t="s">
        <v>2422</v>
      </c>
      <c r="I1123" s="2">
        <v>445.4</v>
      </c>
      <c r="J1123" s="2">
        <v>294.45999999999998</v>
      </c>
      <c r="K1123" s="2">
        <v>150.94</v>
      </c>
      <c r="L1123" s="2">
        <v>33.89</v>
      </c>
      <c r="M1123" s="2">
        <v>445.4</v>
      </c>
      <c r="N1123" s="2">
        <v>294.45999999999998</v>
      </c>
      <c r="O1123" s="2">
        <v>140.94</v>
      </c>
      <c r="P1123" s="2">
        <v>33.89</v>
      </c>
    </row>
    <row r="1124" spans="1:16" x14ac:dyDescent="0.25">
      <c r="A1124" t="s">
        <v>15</v>
      </c>
      <c r="B1124" t="s">
        <v>1293</v>
      </c>
      <c r="C1124" t="s">
        <v>17</v>
      </c>
      <c r="D1124" t="s">
        <v>1486</v>
      </c>
      <c r="E1124" t="s">
        <v>47</v>
      </c>
      <c r="F1124" t="s">
        <v>324</v>
      </c>
      <c r="G1124" s="1">
        <f>45832</f>
        <v>45832</v>
      </c>
      <c r="H1124" t="s">
        <v>2422</v>
      </c>
      <c r="I1124" s="2">
        <v>1543.95</v>
      </c>
      <c r="J1124" s="2">
        <v>1013.76</v>
      </c>
      <c r="K1124" s="2">
        <v>530.19000000000005</v>
      </c>
      <c r="L1124" s="2">
        <v>34.340000000000003</v>
      </c>
      <c r="M1124" s="2">
        <v>1543.95</v>
      </c>
      <c r="N1124" s="2">
        <v>1045.21</v>
      </c>
      <c r="O1124" s="2">
        <v>484.74</v>
      </c>
      <c r="P1124" s="2">
        <v>32.299999999999997</v>
      </c>
    </row>
    <row r="1125" spans="1:16" x14ac:dyDescent="0.25">
      <c r="A1125" t="s">
        <v>15</v>
      </c>
      <c r="B1125" t="s">
        <v>1293</v>
      </c>
      <c r="C1125" t="s">
        <v>17</v>
      </c>
      <c r="D1125" t="s">
        <v>1487</v>
      </c>
      <c r="E1125" t="s">
        <v>47</v>
      </c>
      <c r="F1125" t="s">
        <v>316</v>
      </c>
      <c r="G1125" s="1">
        <f>45832</f>
        <v>45832</v>
      </c>
      <c r="H1125" t="s">
        <v>2422</v>
      </c>
      <c r="I1125" s="2">
        <v>3184.9</v>
      </c>
      <c r="J1125" s="2">
        <v>2269</v>
      </c>
      <c r="K1125" s="2">
        <v>915.9</v>
      </c>
      <c r="L1125" s="2">
        <v>28.76</v>
      </c>
      <c r="M1125" s="2">
        <v>3184.9</v>
      </c>
      <c r="N1125" s="2">
        <v>2269</v>
      </c>
      <c r="O1125" s="2">
        <v>820.9</v>
      </c>
      <c r="P1125" s="2">
        <v>28.76</v>
      </c>
    </row>
    <row r="1126" spans="1:16" x14ac:dyDescent="0.25">
      <c r="A1126" t="s">
        <v>15</v>
      </c>
      <c r="B1126" t="s">
        <v>1293</v>
      </c>
      <c r="C1126" t="s">
        <v>17</v>
      </c>
      <c r="D1126" t="s">
        <v>1488</v>
      </c>
      <c r="E1126" t="s">
        <v>47</v>
      </c>
      <c r="F1126" t="s">
        <v>1489</v>
      </c>
      <c r="G1126" s="1">
        <f>45832</f>
        <v>45832</v>
      </c>
      <c r="H1126" t="s">
        <v>2422</v>
      </c>
      <c r="I1126" s="2">
        <v>4311.8599999999997</v>
      </c>
      <c r="J1126" s="2">
        <v>2623.85</v>
      </c>
      <c r="K1126" s="2">
        <v>1688.01</v>
      </c>
      <c r="L1126" s="2">
        <v>39.15</v>
      </c>
      <c r="M1126" s="2">
        <v>4311.8599999999997</v>
      </c>
      <c r="N1126" s="2">
        <v>2623.85</v>
      </c>
      <c r="O1126" s="2">
        <v>1651.01</v>
      </c>
      <c r="P1126" s="2">
        <v>39.15</v>
      </c>
    </row>
    <row r="1127" spans="1:16" x14ac:dyDescent="0.25">
      <c r="A1127" t="s">
        <v>15</v>
      </c>
      <c r="B1127" t="s">
        <v>1293</v>
      </c>
      <c r="C1127" t="s">
        <v>17</v>
      </c>
      <c r="D1127" t="s">
        <v>1490</v>
      </c>
      <c r="E1127" t="s">
        <v>47</v>
      </c>
      <c r="F1127" t="s">
        <v>1491</v>
      </c>
      <c r="G1127" s="1">
        <f>45835</f>
        <v>45835</v>
      </c>
      <c r="H1127" t="s">
        <v>2422</v>
      </c>
      <c r="I1127" s="2">
        <v>5318.78</v>
      </c>
      <c r="J1127" s="2">
        <v>3726.28</v>
      </c>
      <c r="K1127" s="2">
        <v>1592.5</v>
      </c>
      <c r="L1127" s="2">
        <v>29.94</v>
      </c>
      <c r="M1127" s="2">
        <v>5318.78</v>
      </c>
      <c r="N1127" s="2">
        <v>3726.28</v>
      </c>
      <c r="O1127" s="2">
        <v>1483.02</v>
      </c>
      <c r="P1127" s="2">
        <v>29.94</v>
      </c>
    </row>
    <row r="1128" spans="1:16" x14ac:dyDescent="0.25">
      <c r="A1128" t="s">
        <v>15</v>
      </c>
      <c r="B1128" t="s">
        <v>1293</v>
      </c>
      <c r="C1128" t="s">
        <v>17</v>
      </c>
      <c r="D1128" t="s">
        <v>1492</v>
      </c>
      <c r="E1128" t="s">
        <v>47</v>
      </c>
      <c r="F1128" t="s">
        <v>372</v>
      </c>
      <c r="G1128" s="1">
        <f>45835</f>
        <v>45835</v>
      </c>
      <c r="H1128" t="s">
        <v>2422</v>
      </c>
      <c r="I1128" s="2">
        <v>338.8</v>
      </c>
      <c r="J1128" s="2">
        <v>224.04</v>
      </c>
      <c r="K1128" s="2">
        <v>114.76</v>
      </c>
      <c r="L1128" s="2">
        <v>33.869999999999997</v>
      </c>
      <c r="M1128" s="2">
        <v>338.8</v>
      </c>
      <c r="N1128" s="2">
        <v>224.02</v>
      </c>
      <c r="O1128" s="2">
        <v>85.78</v>
      </c>
      <c r="P1128" s="2">
        <v>33.880000000000003</v>
      </c>
    </row>
    <row r="1129" spans="1:16" x14ac:dyDescent="0.25">
      <c r="A1129" t="s">
        <v>15</v>
      </c>
      <c r="B1129" t="s">
        <v>1293</v>
      </c>
      <c r="C1129" t="s">
        <v>17</v>
      </c>
      <c r="D1129" t="s">
        <v>1493</v>
      </c>
      <c r="E1129" t="s">
        <v>47</v>
      </c>
      <c r="F1129" t="s">
        <v>324</v>
      </c>
      <c r="G1129" s="1">
        <f>45838</f>
        <v>45838</v>
      </c>
      <c r="H1129" t="s">
        <v>2422</v>
      </c>
      <c r="I1129" s="2">
        <v>1825</v>
      </c>
      <c r="J1129" s="2">
        <v>1185.48</v>
      </c>
      <c r="K1129" s="2">
        <v>639.52</v>
      </c>
      <c r="L1129" s="2">
        <v>35.04</v>
      </c>
      <c r="M1129" s="2">
        <v>1825</v>
      </c>
      <c r="N1129" s="2">
        <v>1185.48</v>
      </c>
      <c r="O1129" s="2">
        <v>604.52</v>
      </c>
      <c r="P1129" s="2">
        <v>35.04</v>
      </c>
    </row>
    <row r="1130" spans="1:16" x14ac:dyDescent="0.25">
      <c r="A1130" t="s">
        <v>15</v>
      </c>
      <c r="B1130" t="s">
        <v>1293</v>
      </c>
      <c r="C1130" t="s">
        <v>17</v>
      </c>
      <c r="D1130" t="s">
        <v>1494</v>
      </c>
      <c r="E1130" t="s">
        <v>47</v>
      </c>
      <c r="F1130" t="s">
        <v>333</v>
      </c>
      <c r="G1130" s="1">
        <f>45838</f>
        <v>45838</v>
      </c>
      <c r="H1130" t="s">
        <v>2422</v>
      </c>
      <c r="I1130" s="2">
        <v>648.53</v>
      </c>
      <c r="J1130" s="2">
        <v>437.6</v>
      </c>
      <c r="K1130" s="2">
        <v>210.93</v>
      </c>
      <c r="L1130" s="2">
        <v>32.520000000000003</v>
      </c>
      <c r="M1130" s="2">
        <v>648.53</v>
      </c>
      <c r="N1130" s="2">
        <v>437.6</v>
      </c>
      <c r="O1130" s="2">
        <v>187.93</v>
      </c>
      <c r="P1130" s="2">
        <v>32.520000000000003</v>
      </c>
    </row>
    <row r="1131" spans="1:16" x14ac:dyDescent="0.25">
      <c r="A1131" t="s">
        <v>15</v>
      </c>
      <c r="B1131" t="s">
        <v>1293</v>
      </c>
      <c r="C1131" t="s">
        <v>17</v>
      </c>
      <c r="D1131" t="s">
        <v>1495</v>
      </c>
      <c r="E1131" t="s">
        <v>47</v>
      </c>
      <c r="F1131" t="s">
        <v>1496</v>
      </c>
      <c r="G1131" s="1">
        <f>45838</f>
        <v>45838</v>
      </c>
      <c r="H1131" t="s">
        <v>2422</v>
      </c>
      <c r="I1131" s="2">
        <v>908.9</v>
      </c>
      <c r="J1131" s="2">
        <v>636.20000000000005</v>
      </c>
      <c r="K1131" s="2">
        <v>272.7</v>
      </c>
      <c r="L1131" s="2">
        <v>30</v>
      </c>
      <c r="M1131" s="2">
        <v>908.9</v>
      </c>
      <c r="N1131" s="2">
        <v>636.20000000000005</v>
      </c>
      <c r="O1131" s="2">
        <v>237.7</v>
      </c>
      <c r="P1131" s="2">
        <v>30</v>
      </c>
    </row>
    <row r="1132" spans="1:16" x14ac:dyDescent="0.25">
      <c r="A1132" t="s">
        <v>15</v>
      </c>
      <c r="B1132" t="s">
        <v>1293</v>
      </c>
      <c r="C1132" t="s">
        <v>17</v>
      </c>
      <c r="D1132" t="s">
        <v>1497</v>
      </c>
      <c r="E1132" t="s">
        <v>47</v>
      </c>
      <c r="F1132" t="s">
        <v>617</v>
      </c>
      <c r="G1132" s="1">
        <f>45838</f>
        <v>45838</v>
      </c>
      <c r="H1132" t="s">
        <v>2422</v>
      </c>
      <c r="I1132" s="2">
        <v>3182.9</v>
      </c>
      <c r="J1132" s="2">
        <v>2282.6999999999998</v>
      </c>
      <c r="K1132" s="2">
        <v>900.2</v>
      </c>
      <c r="L1132" s="2">
        <v>28.28</v>
      </c>
      <c r="M1132" s="2">
        <v>3182.9</v>
      </c>
      <c r="N1132" s="2">
        <v>2282.6999999999998</v>
      </c>
      <c r="O1132" s="2">
        <v>878.2</v>
      </c>
      <c r="P1132" s="2">
        <v>28.28</v>
      </c>
    </row>
    <row r="1133" spans="1:16" x14ac:dyDescent="0.25">
      <c r="A1133" t="s">
        <v>15</v>
      </c>
      <c r="B1133" t="s">
        <v>1293</v>
      </c>
      <c r="C1133" t="s">
        <v>17</v>
      </c>
      <c r="D1133" t="s">
        <v>1498</v>
      </c>
      <c r="E1133" t="s">
        <v>47</v>
      </c>
      <c r="F1133" t="s">
        <v>316</v>
      </c>
      <c r="G1133" s="1">
        <f>45827</f>
        <v>45827</v>
      </c>
      <c r="H1133" t="s">
        <v>2422</v>
      </c>
      <c r="I1133" s="2">
        <v>395</v>
      </c>
      <c r="J1133" s="2">
        <v>227.92</v>
      </c>
      <c r="K1133" s="2">
        <v>167.08</v>
      </c>
      <c r="L1133" s="2">
        <v>42.3</v>
      </c>
      <c r="M1133" s="2">
        <v>395</v>
      </c>
      <c r="N1133" s="2">
        <v>227.92</v>
      </c>
      <c r="O1133" s="2">
        <v>47.08</v>
      </c>
      <c r="P1133" s="2">
        <v>42.3</v>
      </c>
    </row>
    <row r="1134" spans="1:16" x14ac:dyDescent="0.25">
      <c r="A1134" t="s">
        <v>15</v>
      </c>
      <c r="B1134" t="s">
        <v>1293</v>
      </c>
      <c r="C1134" t="s">
        <v>17</v>
      </c>
      <c r="D1134" t="s">
        <v>1499</v>
      </c>
      <c r="E1134" t="s">
        <v>47</v>
      </c>
      <c r="F1134" t="s">
        <v>1500</v>
      </c>
      <c r="G1134" s="1">
        <f>45824</f>
        <v>45824</v>
      </c>
      <c r="H1134" t="s">
        <v>2422</v>
      </c>
      <c r="I1134" s="2">
        <v>210</v>
      </c>
      <c r="J1134" s="2">
        <v>64</v>
      </c>
      <c r="K1134" s="2">
        <v>146</v>
      </c>
      <c r="L1134" s="2">
        <v>69.52</v>
      </c>
      <c r="M1134" s="2">
        <v>210</v>
      </c>
      <c r="N1134" s="2">
        <v>64</v>
      </c>
      <c r="O1134" s="2">
        <v>146</v>
      </c>
      <c r="P1134" s="2">
        <v>69.52</v>
      </c>
    </row>
    <row r="1135" spans="1:16" x14ac:dyDescent="0.25">
      <c r="A1135" t="s">
        <v>15</v>
      </c>
      <c r="B1135" t="s">
        <v>1501</v>
      </c>
      <c r="C1135" t="s">
        <v>17</v>
      </c>
      <c r="D1135" t="s">
        <v>1502</v>
      </c>
      <c r="E1135" t="s">
        <v>47</v>
      </c>
      <c r="F1135" t="s">
        <v>390</v>
      </c>
      <c r="G1135" s="1">
        <f>45839</f>
        <v>45839</v>
      </c>
      <c r="H1135" t="s">
        <v>2422</v>
      </c>
      <c r="I1135" s="2">
        <v>1651.6</v>
      </c>
      <c r="J1135" s="2">
        <v>1117.03</v>
      </c>
      <c r="K1135" s="2">
        <v>534.57000000000005</v>
      </c>
      <c r="L1135" s="2">
        <v>32.369999999999997</v>
      </c>
      <c r="M1135" s="2">
        <v>1651.6</v>
      </c>
      <c r="N1135" s="2">
        <v>1117.03</v>
      </c>
      <c r="O1135" s="2">
        <v>485.57</v>
      </c>
      <c r="P1135" s="2">
        <v>32.369999999999997</v>
      </c>
    </row>
    <row r="1136" spans="1:16" x14ac:dyDescent="0.25">
      <c r="A1136" t="s">
        <v>15</v>
      </c>
      <c r="B1136" t="s">
        <v>1501</v>
      </c>
      <c r="C1136" t="s">
        <v>17</v>
      </c>
      <c r="D1136" t="s">
        <v>1503</v>
      </c>
      <c r="E1136" t="s">
        <v>47</v>
      </c>
      <c r="F1136" t="s">
        <v>390</v>
      </c>
      <c r="G1136" s="1">
        <f>45854</f>
        <v>45854</v>
      </c>
      <c r="H1136" t="s">
        <v>2422</v>
      </c>
      <c r="I1136" s="2">
        <v>517.29999999999995</v>
      </c>
      <c r="J1136" s="2">
        <v>341.87</v>
      </c>
      <c r="K1136" s="2">
        <v>175.43</v>
      </c>
      <c r="L1136" s="2">
        <v>33.909999999999997</v>
      </c>
      <c r="M1136" s="2">
        <v>517.29999999999995</v>
      </c>
      <c r="N1136" s="2">
        <v>341.87</v>
      </c>
      <c r="O1136" s="2">
        <v>138.43</v>
      </c>
      <c r="P1136" s="2">
        <v>33.909999999999997</v>
      </c>
    </row>
    <row r="1137" spans="1:16" x14ac:dyDescent="0.25">
      <c r="A1137" t="s">
        <v>15</v>
      </c>
      <c r="B1137" t="s">
        <v>1501</v>
      </c>
      <c r="C1137" t="s">
        <v>17</v>
      </c>
      <c r="D1137" t="s">
        <v>1504</v>
      </c>
      <c r="E1137" t="s">
        <v>47</v>
      </c>
      <c r="F1137" t="s">
        <v>31</v>
      </c>
      <c r="G1137" s="1">
        <f>45867</f>
        <v>45867</v>
      </c>
      <c r="H1137" t="s">
        <v>2422</v>
      </c>
      <c r="I1137" s="2">
        <v>160.27000000000001</v>
      </c>
      <c r="J1137" s="2">
        <v>112.7</v>
      </c>
      <c r="K1137" s="2">
        <v>47.57</v>
      </c>
      <c r="L1137" s="2">
        <v>29.68</v>
      </c>
      <c r="M1137" s="2">
        <v>160.27000000000001</v>
      </c>
      <c r="N1137" s="2">
        <v>112.7</v>
      </c>
      <c r="O1137" s="2">
        <v>38.57</v>
      </c>
      <c r="P1137" s="2">
        <v>29.68</v>
      </c>
    </row>
    <row r="1138" spans="1:16" x14ac:dyDescent="0.25">
      <c r="A1138" t="s">
        <v>15</v>
      </c>
      <c r="B1138" t="s">
        <v>1501</v>
      </c>
      <c r="C1138" t="s">
        <v>1505</v>
      </c>
      <c r="D1138" t="s">
        <v>1506</v>
      </c>
      <c r="E1138" t="s">
        <v>47</v>
      </c>
      <c r="F1138" t="s">
        <v>1507</v>
      </c>
      <c r="G1138" s="1">
        <f>45867</f>
        <v>45867</v>
      </c>
      <c r="H1138" t="s">
        <v>2422</v>
      </c>
      <c r="I1138" s="2">
        <v>1929</v>
      </c>
      <c r="J1138" s="2">
        <v>1344.64</v>
      </c>
      <c r="K1138" s="2">
        <v>584.36</v>
      </c>
      <c r="L1138" s="2">
        <v>30.29</v>
      </c>
      <c r="M1138" s="2">
        <v>1929</v>
      </c>
      <c r="N1138" s="2">
        <v>1649.86</v>
      </c>
      <c r="O1138" s="2">
        <v>106.48</v>
      </c>
      <c r="P1138" s="2">
        <v>14.47</v>
      </c>
    </row>
    <row r="1139" spans="1:16" x14ac:dyDescent="0.25">
      <c r="A1139" t="s">
        <v>15</v>
      </c>
      <c r="B1139" t="s">
        <v>1501</v>
      </c>
      <c r="C1139" t="s">
        <v>42</v>
      </c>
      <c r="D1139" t="s">
        <v>1508</v>
      </c>
      <c r="E1139" t="s">
        <v>19</v>
      </c>
      <c r="F1139" t="s">
        <v>44</v>
      </c>
      <c r="G1139" s="1">
        <f>45840</f>
        <v>45840</v>
      </c>
      <c r="H1139" t="s">
        <v>2422</v>
      </c>
      <c r="I1139" s="2">
        <v>666.4</v>
      </c>
      <c r="J1139" s="2">
        <v>392.89</v>
      </c>
      <c r="K1139" s="2">
        <v>273.51</v>
      </c>
      <c r="L1139" s="2">
        <v>41.04</v>
      </c>
      <c r="M1139" s="2">
        <v>666.4</v>
      </c>
      <c r="N1139" s="2">
        <v>137</v>
      </c>
      <c r="O1139" s="2">
        <v>520.4</v>
      </c>
      <c r="P1139" s="2">
        <v>79.44</v>
      </c>
    </row>
    <row r="1140" spans="1:16" x14ac:dyDescent="0.25">
      <c r="A1140" t="s">
        <v>15</v>
      </c>
      <c r="B1140" t="s">
        <v>1501</v>
      </c>
      <c r="C1140" t="s">
        <v>42</v>
      </c>
      <c r="D1140" t="s">
        <v>1509</v>
      </c>
      <c r="E1140" t="s">
        <v>19</v>
      </c>
      <c r="F1140" t="s">
        <v>44</v>
      </c>
      <c r="G1140" s="1">
        <f>45855</f>
        <v>45855</v>
      </c>
      <c r="H1140" t="s">
        <v>2422</v>
      </c>
      <c r="I1140" s="2">
        <v>240</v>
      </c>
      <c r="J1140" s="2">
        <v>173.85</v>
      </c>
      <c r="K1140" s="2">
        <v>66.150000000000006</v>
      </c>
      <c r="L1140" s="2">
        <v>27.56</v>
      </c>
      <c r="M1140" s="2">
        <v>240</v>
      </c>
      <c r="N1140" s="2">
        <v>185.85</v>
      </c>
      <c r="O1140" s="2">
        <v>45.15</v>
      </c>
      <c r="P1140" s="2">
        <v>22.56</v>
      </c>
    </row>
    <row r="1141" spans="1:16" x14ac:dyDescent="0.25">
      <c r="A1141" t="s">
        <v>15</v>
      </c>
      <c r="B1141" t="s">
        <v>1501</v>
      </c>
      <c r="C1141" t="s">
        <v>42</v>
      </c>
      <c r="D1141" t="s">
        <v>1510</v>
      </c>
      <c r="E1141" t="s">
        <v>47</v>
      </c>
      <c r="F1141" t="s">
        <v>44</v>
      </c>
      <c r="G1141" s="1">
        <f>45866</f>
        <v>45866</v>
      </c>
      <c r="H1141" t="s">
        <v>2422</v>
      </c>
      <c r="I1141" s="2">
        <v>167.65</v>
      </c>
      <c r="J1141" s="2">
        <v>94.62</v>
      </c>
      <c r="K1141" s="2">
        <v>73.03</v>
      </c>
      <c r="L1141" s="2">
        <v>43.56</v>
      </c>
      <c r="M1141" s="2">
        <v>167.65</v>
      </c>
      <c r="N1141" s="2">
        <v>151.4</v>
      </c>
      <c r="O1141" s="2">
        <v>7.25</v>
      </c>
      <c r="P1141" s="2">
        <v>9.69</v>
      </c>
    </row>
    <row r="1142" spans="1:16" x14ac:dyDescent="0.25">
      <c r="A1142" t="s">
        <v>15</v>
      </c>
      <c r="B1142" t="s">
        <v>1501</v>
      </c>
      <c r="C1142" t="s">
        <v>42</v>
      </c>
      <c r="D1142" t="s">
        <v>1511</v>
      </c>
      <c r="E1142" t="s">
        <v>47</v>
      </c>
      <c r="F1142" t="s">
        <v>44</v>
      </c>
      <c r="G1142" s="1">
        <f>45866</f>
        <v>45866</v>
      </c>
      <c r="H1142" t="s">
        <v>2422</v>
      </c>
      <c r="I1142" s="2">
        <v>665.2</v>
      </c>
      <c r="J1142" s="2">
        <v>399.4</v>
      </c>
      <c r="K1142" s="2">
        <v>265.8</v>
      </c>
      <c r="L1142" s="2">
        <v>39.96</v>
      </c>
      <c r="M1142" s="2">
        <v>665.2</v>
      </c>
      <c r="N1142" s="2">
        <v>447.4</v>
      </c>
      <c r="O1142" s="2">
        <v>183.8</v>
      </c>
      <c r="P1142" s="2">
        <v>32.74</v>
      </c>
    </row>
    <row r="1143" spans="1:16" x14ac:dyDescent="0.25">
      <c r="A1143" t="s">
        <v>15</v>
      </c>
      <c r="B1143" t="s">
        <v>1501</v>
      </c>
      <c r="C1143" t="s">
        <v>42</v>
      </c>
      <c r="D1143" t="s">
        <v>1512</v>
      </c>
      <c r="E1143" t="s">
        <v>47</v>
      </c>
      <c r="F1143" t="s">
        <v>44</v>
      </c>
      <c r="G1143" s="1">
        <f>45866</f>
        <v>45866</v>
      </c>
      <c r="H1143" t="s">
        <v>2422</v>
      </c>
      <c r="I1143" s="2">
        <v>3502</v>
      </c>
      <c r="J1143" s="2">
        <v>1919.47</v>
      </c>
      <c r="K1143" s="2">
        <v>1582.53</v>
      </c>
      <c r="L1143" s="2">
        <v>45.19</v>
      </c>
      <c r="M1143" s="2">
        <v>3502</v>
      </c>
      <c r="N1143" s="2">
        <v>889.36</v>
      </c>
      <c r="O1143" s="2">
        <v>2600.64</v>
      </c>
      <c r="P1143" s="2">
        <v>74.599999999999994</v>
      </c>
    </row>
    <row r="1144" spans="1:16" x14ac:dyDescent="0.25">
      <c r="A1144" t="s">
        <v>15</v>
      </c>
      <c r="B1144" t="s">
        <v>1501</v>
      </c>
      <c r="C1144" t="s">
        <v>42</v>
      </c>
      <c r="D1144" t="s">
        <v>1513</v>
      </c>
      <c r="E1144" t="s">
        <v>19</v>
      </c>
      <c r="F1144" t="s">
        <v>1514</v>
      </c>
      <c r="G1144" s="1">
        <f>45847</f>
        <v>45847</v>
      </c>
      <c r="H1144" t="s">
        <v>2422</v>
      </c>
      <c r="I1144" s="2">
        <v>1629.4</v>
      </c>
      <c r="J1144" s="2">
        <v>1163.92</v>
      </c>
      <c r="K1144" s="2">
        <v>465.48</v>
      </c>
      <c r="L1144" s="2">
        <v>28.57</v>
      </c>
      <c r="M1144" s="2">
        <v>1629.4</v>
      </c>
      <c r="N1144" s="2">
        <v>1163.92</v>
      </c>
      <c r="O1144" s="2">
        <v>431.48</v>
      </c>
      <c r="P1144" s="2">
        <v>28.57</v>
      </c>
    </row>
    <row r="1145" spans="1:16" x14ac:dyDescent="0.25">
      <c r="A1145" t="s">
        <v>15</v>
      </c>
      <c r="B1145" t="s">
        <v>1501</v>
      </c>
      <c r="C1145" t="s">
        <v>17</v>
      </c>
      <c r="D1145" t="s">
        <v>1515</v>
      </c>
      <c r="E1145" t="s">
        <v>47</v>
      </c>
      <c r="F1145" t="s">
        <v>1516</v>
      </c>
      <c r="G1145" s="1">
        <f>45840</f>
        <v>45840</v>
      </c>
      <c r="H1145" t="s">
        <v>2422</v>
      </c>
      <c r="I1145" s="2">
        <v>566.1</v>
      </c>
      <c r="J1145" s="2">
        <v>370.58</v>
      </c>
      <c r="K1145" s="2">
        <v>195.52</v>
      </c>
      <c r="L1145" s="2">
        <v>34.54</v>
      </c>
      <c r="M1145" s="2">
        <v>566.1</v>
      </c>
      <c r="N1145" s="2">
        <v>363.85</v>
      </c>
      <c r="O1145" s="2">
        <v>161.25</v>
      </c>
      <c r="P1145" s="2">
        <v>35.729999999999997</v>
      </c>
    </row>
    <row r="1146" spans="1:16" x14ac:dyDescent="0.25">
      <c r="A1146" t="s">
        <v>15</v>
      </c>
      <c r="B1146" t="s">
        <v>1501</v>
      </c>
      <c r="C1146" t="s">
        <v>17</v>
      </c>
      <c r="D1146" t="s">
        <v>1517</v>
      </c>
      <c r="E1146" t="s">
        <v>47</v>
      </c>
      <c r="F1146" t="s">
        <v>176</v>
      </c>
      <c r="G1146" s="1">
        <f>45845</f>
        <v>45845</v>
      </c>
      <c r="H1146" t="s">
        <v>2422</v>
      </c>
      <c r="I1146" s="2">
        <v>429.8</v>
      </c>
      <c r="J1146" s="2">
        <v>288.49</v>
      </c>
      <c r="K1146" s="2">
        <v>141.31</v>
      </c>
      <c r="L1146" s="2">
        <v>32.880000000000003</v>
      </c>
      <c r="M1146" s="2">
        <v>429.8</v>
      </c>
      <c r="N1146" s="2">
        <v>278.45999999999998</v>
      </c>
      <c r="O1146" s="2">
        <v>141.34</v>
      </c>
      <c r="P1146" s="2">
        <v>35.21</v>
      </c>
    </row>
    <row r="1147" spans="1:16" x14ac:dyDescent="0.25">
      <c r="A1147" t="s">
        <v>15</v>
      </c>
      <c r="B1147" t="s">
        <v>1501</v>
      </c>
      <c r="C1147" t="s">
        <v>17</v>
      </c>
      <c r="D1147" t="s">
        <v>1518</v>
      </c>
      <c r="E1147" t="s">
        <v>47</v>
      </c>
      <c r="F1147" t="s">
        <v>390</v>
      </c>
      <c r="G1147" s="1">
        <f>45847</f>
        <v>45847</v>
      </c>
      <c r="H1147" t="s">
        <v>2422</v>
      </c>
      <c r="I1147" s="2">
        <v>494</v>
      </c>
      <c r="J1147" s="2">
        <v>337.68</v>
      </c>
      <c r="K1147" s="2">
        <v>156.32</v>
      </c>
      <c r="L1147" s="2">
        <v>31.64</v>
      </c>
      <c r="M1147" s="2">
        <v>494</v>
      </c>
      <c r="N1147" s="2">
        <v>337.68</v>
      </c>
      <c r="O1147" s="2">
        <v>136.32</v>
      </c>
      <c r="P1147" s="2">
        <v>31.64</v>
      </c>
    </row>
    <row r="1148" spans="1:16" x14ac:dyDescent="0.25">
      <c r="A1148" t="s">
        <v>15</v>
      </c>
      <c r="B1148" t="s">
        <v>1501</v>
      </c>
      <c r="C1148" t="s">
        <v>17</v>
      </c>
      <c r="D1148" t="s">
        <v>1519</v>
      </c>
      <c r="E1148" t="s">
        <v>47</v>
      </c>
      <c r="F1148" t="s">
        <v>670</v>
      </c>
      <c r="G1148" s="1">
        <f>45849</f>
        <v>45849</v>
      </c>
      <c r="H1148" t="s">
        <v>2422</v>
      </c>
      <c r="I1148" s="2">
        <v>5407.2</v>
      </c>
      <c r="J1148" s="2">
        <v>3650.6</v>
      </c>
      <c r="K1148" s="2">
        <v>1756.6</v>
      </c>
      <c r="L1148" s="2">
        <v>32.49</v>
      </c>
      <c r="M1148" s="2">
        <v>5407.2</v>
      </c>
      <c r="N1148" s="2">
        <v>3650.66</v>
      </c>
      <c r="O1148" s="2">
        <v>1678.26</v>
      </c>
      <c r="P1148" s="2">
        <v>32.49</v>
      </c>
    </row>
    <row r="1149" spans="1:16" x14ac:dyDescent="0.25">
      <c r="A1149" t="s">
        <v>15</v>
      </c>
      <c r="B1149" t="s">
        <v>1501</v>
      </c>
      <c r="C1149" t="s">
        <v>17</v>
      </c>
      <c r="D1149" t="s">
        <v>1520</v>
      </c>
      <c r="E1149" t="s">
        <v>19</v>
      </c>
      <c r="F1149" t="s">
        <v>53</v>
      </c>
      <c r="G1149" s="1">
        <f>45854</f>
        <v>45854</v>
      </c>
      <c r="H1149" t="s">
        <v>51</v>
      </c>
      <c r="I1149" s="2">
        <v>1132.5</v>
      </c>
      <c r="J1149" s="2">
        <v>753</v>
      </c>
      <c r="K1149" s="2">
        <v>379.5</v>
      </c>
      <c r="L1149" s="2">
        <v>33.51</v>
      </c>
      <c r="M1149" s="2">
        <v>0</v>
      </c>
      <c r="N1149" s="2">
        <v>0.01</v>
      </c>
      <c r="O1149" s="2">
        <v>0</v>
      </c>
      <c r="P1149" s="2">
        <v>0</v>
      </c>
    </row>
    <row r="1150" spans="1:16" x14ac:dyDescent="0.25">
      <c r="A1150" t="s">
        <v>15</v>
      </c>
      <c r="B1150" t="s">
        <v>1501</v>
      </c>
      <c r="C1150" t="s">
        <v>17</v>
      </c>
      <c r="D1150" t="s">
        <v>1521</v>
      </c>
      <c r="E1150" t="s">
        <v>19</v>
      </c>
      <c r="F1150" t="s">
        <v>53</v>
      </c>
      <c r="G1150" s="1">
        <f>45854</f>
        <v>45854</v>
      </c>
      <c r="H1150" t="s">
        <v>51</v>
      </c>
      <c r="I1150" s="2">
        <v>558.4</v>
      </c>
      <c r="J1150" s="2">
        <v>372.33</v>
      </c>
      <c r="K1150" s="2">
        <v>186.07</v>
      </c>
      <c r="L1150" s="2">
        <v>33.32</v>
      </c>
      <c r="M1150" s="2">
        <v>558.4</v>
      </c>
      <c r="N1150" s="2">
        <v>372.38</v>
      </c>
      <c r="O1150" s="2">
        <v>172.79</v>
      </c>
      <c r="P1150" s="2">
        <v>33.31</v>
      </c>
    </row>
    <row r="1151" spans="1:16" x14ac:dyDescent="0.25">
      <c r="A1151" t="s">
        <v>15</v>
      </c>
      <c r="B1151" t="s">
        <v>1501</v>
      </c>
      <c r="C1151" t="s">
        <v>17</v>
      </c>
      <c r="D1151" t="s">
        <v>1522</v>
      </c>
      <c r="E1151" t="s">
        <v>19</v>
      </c>
      <c r="F1151" t="s">
        <v>176</v>
      </c>
      <c r="G1151" s="1">
        <f>45859</f>
        <v>45859</v>
      </c>
      <c r="H1151" t="s">
        <v>51</v>
      </c>
      <c r="I1151" s="2">
        <v>576</v>
      </c>
      <c r="J1151" s="2">
        <v>396.39</v>
      </c>
      <c r="K1151" s="2">
        <v>179.61</v>
      </c>
      <c r="L1151" s="2">
        <v>31.18</v>
      </c>
      <c r="M1151" s="2">
        <v>576</v>
      </c>
      <c r="N1151" s="2">
        <v>396.39</v>
      </c>
      <c r="O1151" s="2">
        <v>163.01</v>
      </c>
      <c r="P1151" s="2">
        <v>31.18</v>
      </c>
    </row>
    <row r="1152" spans="1:16" x14ac:dyDescent="0.25">
      <c r="A1152" t="s">
        <v>15</v>
      </c>
      <c r="B1152" t="s">
        <v>1501</v>
      </c>
      <c r="C1152" t="s">
        <v>17</v>
      </c>
      <c r="D1152" t="s">
        <v>1523</v>
      </c>
      <c r="E1152" t="s">
        <v>19</v>
      </c>
      <c r="F1152" t="s">
        <v>172</v>
      </c>
      <c r="G1152" s="1">
        <f>45860</f>
        <v>45860</v>
      </c>
      <c r="H1152" t="s">
        <v>51</v>
      </c>
      <c r="I1152" s="2">
        <v>628.20000000000005</v>
      </c>
      <c r="J1152" s="2">
        <v>415.3</v>
      </c>
      <c r="K1152" s="2">
        <v>212.9</v>
      </c>
      <c r="L1152" s="2">
        <v>33.89</v>
      </c>
      <c r="M1152" s="2">
        <v>452.4</v>
      </c>
      <c r="N1152" s="2">
        <v>310.8</v>
      </c>
      <c r="O1152" s="2">
        <v>114.6</v>
      </c>
      <c r="P1152" s="2">
        <v>31.3</v>
      </c>
    </row>
    <row r="1153" spans="1:16" x14ac:dyDescent="0.25">
      <c r="A1153" t="s">
        <v>15</v>
      </c>
      <c r="B1153" t="s">
        <v>1501</v>
      </c>
      <c r="C1153" t="s">
        <v>17</v>
      </c>
      <c r="D1153" t="s">
        <v>1524</v>
      </c>
      <c r="E1153" t="s">
        <v>19</v>
      </c>
      <c r="F1153" t="s">
        <v>53</v>
      </c>
      <c r="G1153" s="1">
        <f>45860</f>
        <v>45860</v>
      </c>
      <c r="H1153" t="s">
        <v>51</v>
      </c>
      <c r="I1153" s="2">
        <v>1123.8399999999999</v>
      </c>
      <c r="J1153" s="2">
        <v>720.05</v>
      </c>
      <c r="K1153" s="2">
        <v>403.79</v>
      </c>
      <c r="L1153" s="2">
        <v>35.93</v>
      </c>
      <c r="M1153" s="2">
        <v>1123.8399999999999</v>
      </c>
      <c r="N1153" s="2">
        <v>720.05</v>
      </c>
      <c r="O1153" s="2">
        <v>398.63</v>
      </c>
      <c r="P1153" s="2">
        <v>35.93</v>
      </c>
    </row>
    <row r="1154" spans="1:16" x14ac:dyDescent="0.25">
      <c r="A1154" t="s">
        <v>15</v>
      </c>
      <c r="B1154" t="s">
        <v>1501</v>
      </c>
      <c r="C1154" t="s">
        <v>17</v>
      </c>
      <c r="D1154" t="s">
        <v>1525</v>
      </c>
      <c r="E1154" t="s">
        <v>19</v>
      </c>
      <c r="F1154" t="s">
        <v>670</v>
      </c>
      <c r="G1154" s="1">
        <f>45862</f>
        <v>45862</v>
      </c>
      <c r="H1154" t="s">
        <v>51</v>
      </c>
      <c r="I1154" s="2">
        <v>2859.7</v>
      </c>
      <c r="J1154" s="2">
        <v>1921.23</v>
      </c>
      <c r="K1154" s="2">
        <v>938.47</v>
      </c>
      <c r="L1154" s="2">
        <v>32.82</v>
      </c>
      <c r="M1154" s="2">
        <v>2859.7</v>
      </c>
      <c r="N1154" s="2">
        <v>1921.22</v>
      </c>
      <c r="O1154" s="2">
        <v>893.48</v>
      </c>
      <c r="P1154" s="2">
        <v>32.82</v>
      </c>
    </row>
    <row r="1155" spans="1:16" x14ac:dyDescent="0.25">
      <c r="A1155" t="s">
        <v>15</v>
      </c>
      <c r="B1155" t="s">
        <v>1501</v>
      </c>
      <c r="C1155" t="s">
        <v>17</v>
      </c>
      <c r="D1155" t="s">
        <v>1526</v>
      </c>
      <c r="E1155" t="s">
        <v>19</v>
      </c>
      <c r="F1155" t="s">
        <v>497</v>
      </c>
      <c r="G1155" s="1">
        <f>45863</f>
        <v>45863</v>
      </c>
      <c r="H1155" t="s">
        <v>51</v>
      </c>
      <c r="I1155" s="2">
        <v>1612</v>
      </c>
      <c r="J1155" s="2">
        <v>1136.8800000000001</v>
      </c>
      <c r="K1155" s="2">
        <v>475.12</v>
      </c>
      <c r="L1155" s="2">
        <v>29.47</v>
      </c>
      <c r="M1155" s="2">
        <v>1612</v>
      </c>
      <c r="N1155" s="2">
        <v>1135.3699999999999</v>
      </c>
      <c r="O1155" s="2">
        <v>476.63</v>
      </c>
      <c r="P1155" s="2">
        <v>29.57</v>
      </c>
    </row>
    <row r="1156" spans="1:16" x14ac:dyDescent="0.25">
      <c r="A1156" t="s">
        <v>15</v>
      </c>
      <c r="B1156" t="s">
        <v>1501</v>
      </c>
      <c r="C1156" t="s">
        <v>17</v>
      </c>
      <c r="D1156" t="s">
        <v>1527</v>
      </c>
      <c r="E1156" t="s">
        <v>19</v>
      </c>
      <c r="F1156" t="s">
        <v>402</v>
      </c>
      <c r="G1156" s="1">
        <f>45863</f>
        <v>45863</v>
      </c>
      <c r="H1156" t="s">
        <v>51</v>
      </c>
      <c r="I1156" s="2">
        <v>4998.8</v>
      </c>
      <c r="J1156" s="2">
        <v>3230.53</v>
      </c>
      <c r="K1156" s="2">
        <v>1768.27</v>
      </c>
      <c r="L1156" s="2">
        <v>35.369999999999997</v>
      </c>
      <c r="M1156" s="2">
        <v>4998.8</v>
      </c>
      <c r="N1156" s="2">
        <v>3230.53</v>
      </c>
      <c r="O1156" s="2">
        <v>727.13</v>
      </c>
      <c r="P1156" s="2">
        <v>35.369999999999997</v>
      </c>
    </row>
    <row r="1157" spans="1:16" x14ac:dyDescent="0.25">
      <c r="A1157" t="s">
        <v>15</v>
      </c>
      <c r="B1157" t="s">
        <v>1501</v>
      </c>
      <c r="C1157" t="s">
        <v>17</v>
      </c>
      <c r="D1157" t="s">
        <v>1528</v>
      </c>
      <c r="E1157" t="s">
        <v>19</v>
      </c>
      <c r="F1157" t="s">
        <v>50</v>
      </c>
      <c r="G1157" s="1">
        <f>45867</f>
        <v>45867</v>
      </c>
      <c r="H1157" t="s">
        <v>51</v>
      </c>
      <c r="I1157" s="2">
        <v>557</v>
      </c>
      <c r="J1157" s="2">
        <v>389.55</v>
      </c>
      <c r="K1157" s="2">
        <v>167.45</v>
      </c>
      <c r="L1157" s="2">
        <v>30.06</v>
      </c>
      <c r="M1157" s="2">
        <v>557</v>
      </c>
      <c r="N1157" s="2">
        <v>389.55</v>
      </c>
      <c r="O1157" s="2">
        <v>159.81</v>
      </c>
      <c r="P1157" s="2">
        <v>30.06</v>
      </c>
    </row>
    <row r="1158" spans="1:16" x14ac:dyDescent="0.25">
      <c r="A1158" t="s">
        <v>15</v>
      </c>
      <c r="B1158" t="s">
        <v>1501</v>
      </c>
      <c r="C1158" t="s">
        <v>17</v>
      </c>
      <c r="D1158" t="s">
        <v>1529</v>
      </c>
      <c r="E1158" t="s">
        <v>19</v>
      </c>
      <c r="F1158" t="s">
        <v>50</v>
      </c>
      <c r="G1158" s="1">
        <f>45867</f>
        <v>45867</v>
      </c>
      <c r="H1158" t="s">
        <v>51</v>
      </c>
      <c r="I1158" s="2">
        <v>7701.02</v>
      </c>
      <c r="J1158" s="2">
        <v>5390.51</v>
      </c>
      <c r="K1158" s="2">
        <v>2310.5100000000002</v>
      </c>
      <c r="L1158" s="2">
        <v>30</v>
      </c>
      <c r="M1158" s="2">
        <v>7701.02</v>
      </c>
      <c r="N1158" s="2">
        <v>5236.5</v>
      </c>
      <c r="O1158" s="2">
        <v>2207.83</v>
      </c>
      <c r="P1158" s="2">
        <v>32</v>
      </c>
    </row>
    <row r="1159" spans="1:16" x14ac:dyDescent="0.25">
      <c r="A1159" t="s">
        <v>15</v>
      </c>
      <c r="B1159" t="s">
        <v>1501</v>
      </c>
      <c r="C1159" t="s">
        <v>17</v>
      </c>
      <c r="D1159" t="s">
        <v>1530</v>
      </c>
      <c r="E1159" t="s">
        <v>19</v>
      </c>
      <c r="F1159" t="s">
        <v>181</v>
      </c>
      <c r="G1159" s="1">
        <f>45868</f>
        <v>45868</v>
      </c>
      <c r="H1159" t="s">
        <v>51</v>
      </c>
      <c r="I1159" s="2">
        <v>491.2</v>
      </c>
      <c r="J1159" s="2">
        <v>341.78</v>
      </c>
      <c r="K1159" s="2">
        <v>149.41999999999999</v>
      </c>
      <c r="L1159" s="2">
        <v>30.42</v>
      </c>
      <c r="M1159" s="2">
        <v>491.2</v>
      </c>
      <c r="N1159" s="2">
        <v>341.78</v>
      </c>
      <c r="O1159" s="2">
        <v>97.92</v>
      </c>
      <c r="P1159" s="2">
        <v>30.42</v>
      </c>
    </row>
    <row r="1160" spans="1:16" x14ac:dyDescent="0.25">
      <c r="A1160" t="s">
        <v>15</v>
      </c>
      <c r="B1160" t="s">
        <v>1501</v>
      </c>
      <c r="C1160" t="s">
        <v>58</v>
      </c>
      <c r="D1160" t="s">
        <v>1531</v>
      </c>
      <c r="E1160" t="s">
        <v>19</v>
      </c>
      <c r="F1160" t="s">
        <v>64</v>
      </c>
      <c r="G1160" s="1">
        <f>45839</f>
        <v>45839</v>
      </c>
      <c r="H1160" t="s">
        <v>56</v>
      </c>
      <c r="I1160" s="2">
        <v>659</v>
      </c>
      <c r="J1160" s="2">
        <v>461.3</v>
      </c>
      <c r="K1160" s="2">
        <v>197.7</v>
      </c>
      <c r="L1160" s="2">
        <v>30</v>
      </c>
      <c r="M1160" s="2">
        <v>659</v>
      </c>
      <c r="N1160" s="2">
        <v>461.3</v>
      </c>
      <c r="O1160" s="2">
        <v>162.69999999999999</v>
      </c>
      <c r="P1160" s="2">
        <v>30</v>
      </c>
    </row>
    <row r="1161" spans="1:16" x14ac:dyDescent="0.25">
      <c r="A1161" t="s">
        <v>15</v>
      </c>
      <c r="B1161" t="s">
        <v>1501</v>
      </c>
      <c r="C1161" t="s">
        <v>58</v>
      </c>
      <c r="D1161" t="s">
        <v>1532</v>
      </c>
      <c r="E1161" t="s">
        <v>19</v>
      </c>
      <c r="F1161" t="s">
        <v>64</v>
      </c>
      <c r="G1161" s="1">
        <f>45839</f>
        <v>45839</v>
      </c>
      <c r="H1161" t="s">
        <v>56</v>
      </c>
      <c r="I1161" s="2">
        <v>1381</v>
      </c>
      <c r="J1161" s="2">
        <v>882.44</v>
      </c>
      <c r="K1161" s="2">
        <v>498.56</v>
      </c>
      <c r="L1161" s="2">
        <v>36.1</v>
      </c>
      <c r="M1161" s="2">
        <v>1381</v>
      </c>
      <c r="N1161" s="2">
        <v>882.43</v>
      </c>
      <c r="O1161" s="2">
        <v>418.57</v>
      </c>
      <c r="P1161" s="2">
        <v>36.1</v>
      </c>
    </row>
    <row r="1162" spans="1:16" x14ac:dyDescent="0.25">
      <c r="A1162" t="s">
        <v>15</v>
      </c>
      <c r="B1162" t="s">
        <v>1501</v>
      </c>
      <c r="C1162" t="s">
        <v>58</v>
      </c>
      <c r="D1162" t="s">
        <v>1533</v>
      </c>
      <c r="E1162" t="s">
        <v>47</v>
      </c>
      <c r="F1162" t="s">
        <v>119</v>
      </c>
      <c r="G1162" s="1">
        <f>45839</f>
        <v>45839</v>
      </c>
      <c r="H1162" t="s">
        <v>2422</v>
      </c>
      <c r="I1162" s="2">
        <v>41.06</v>
      </c>
      <c r="J1162" s="2">
        <v>30.77</v>
      </c>
      <c r="K1162" s="2">
        <v>10.29</v>
      </c>
      <c r="L1162" s="2">
        <v>25.06</v>
      </c>
      <c r="M1162" s="2">
        <v>41.06</v>
      </c>
      <c r="N1162" s="2">
        <v>30.77</v>
      </c>
      <c r="O1162" s="2">
        <v>10.29</v>
      </c>
      <c r="P1162" s="2">
        <v>25.06</v>
      </c>
    </row>
    <row r="1163" spans="1:16" x14ac:dyDescent="0.25">
      <c r="A1163" t="s">
        <v>15</v>
      </c>
      <c r="B1163" t="s">
        <v>1501</v>
      </c>
      <c r="C1163" t="s">
        <v>58</v>
      </c>
      <c r="D1163" t="s">
        <v>1534</v>
      </c>
      <c r="E1163" t="s">
        <v>47</v>
      </c>
      <c r="F1163" t="s">
        <v>64</v>
      </c>
      <c r="G1163" s="1">
        <f>45839</f>
        <v>45839</v>
      </c>
      <c r="H1163" t="s">
        <v>56</v>
      </c>
      <c r="I1163" s="2">
        <v>394.4</v>
      </c>
      <c r="J1163" s="2">
        <v>262.8</v>
      </c>
      <c r="K1163" s="2">
        <v>131.6</v>
      </c>
      <c r="L1163" s="2">
        <v>33.369999999999997</v>
      </c>
      <c r="M1163" s="2">
        <v>394.4</v>
      </c>
      <c r="N1163" s="2">
        <v>262.8</v>
      </c>
      <c r="O1163" s="2">
        <v>131.6</v>
      </c>
      <c r="P1163" s="2">
        <v>33.369999999999997</v>
      </c>
    </row>
    <row r="1164" spans="1:16" x14ac:dyDescent="0.25">
      <c r="A1164" t="s">
        <v>15</v>
      </c>
      <c r="B1164" t="s">
        <v>1501</v>
      </c>
      <c r="C1164" t="s">
        <v>58</v>
      </c>
      <c r="D1164" t="s">
        <v>1535</v>
      </c>
      <c r="E1164" t="s">
        <v>19</v>
      </c>
      <c r="F1164" t="s">
        <v>131</v>
      </c>
      <c r="G1164" s="1">
        <f>45840</f>
        <v>45840</v>
      </c>
      <c r="H1164" t="s">
        <v>56</v>
      </c>
      <c r="I1164" s="2">
        <v>195.17</v>
      </c>
      <c r="J1164" s="2">
        <v>136.53</v>
      </c>
      <c r="K1164" s="2">
        <v>58.64</v>
      </c>
      <c r="L1164" s="2">
        <v>30.05</v>
      </c>
      <c r="M1164" s="2">
        <v>195.17</v>
      </c>
      <c r="N1164" s="2">
        <v>136.53</v>
      </c>
      <c r="O1164" s="2">
        <v>58.64</v>
      </c>
      <c r="P1164" s="2">
        <v>30.05</v>
      </c>
    </row>
    <row r="1165" spans="1:16" x14ac:dyDescent="0.25">
      <c r="A1165" t="s">
        <v>15</v>
      </c>
      <c r="B1165" t="s">
        <v>1501</v>
      </c>
      <c r="C1165" t="s">
        <v>58</v>
      </c>
      <c r="D1165" t="s">
        <v>1536</v>
      </c>
      <c r="E1165" t="s">
        <v>19</v>
      </c>
      <c r="F1165" t="s">
        <v>450</v>
      </c>
      <c r="G1165" s="1">
        <f>45841</f>
        <v>45841</v>
      </c>
      <c r="H1165" t="s">
        <v>56</v>
      </c>
      <c r="I1165" s="2">
        <v>6240.5</v>
      </c>
      <c r="J1165" s="2">
        <v>4430.75</v>
      </c>
      <c r="K1165" s="2">
        <v>1809.75</v>
      </c>
      <c r="L1165" s="2">
        <v>29</v>
      </c>
      <c r="M1165" s="2">
        <v>6240.5</v>
      </c>
      <c r="N1165" s="2">
        <v>4430.75</v>
      </c>
      <c r="O1165" s="2">
        <v>1809.75</v>
      </c>
      <c r="P1165" s="2">
        <v>29</v>
      </c>
    </row>
    <row r="1166" spans="1:16" x14ac:dyDescent="0.25">
      <c r="A1166" t="s">
        <v>15</v>
      </c>
      <c r="B1166" t="s">
        <v>1501</v>
      </c>
      <c r="C1166" t="s">
        <v>58</v>
      </c>
      <c r="D1166" t="s">
        <v>1537</v>
      </c>
      <c r="E1166" t="s">
        <v>19</v>
      </c>
      <c r="F1166" t="s">
        <v>79</v>
      </c>
      <c r="G1166" s="1">
        <f>45841</f>
        <v>45841</v>
      </c>
      <c r="H1166" t="s">
        <v>56</v>
      </c>
      <c r="I1166" s="2">
        <v>792</v>
      </c>
      <c r="J1166" s="2">
        <v>524</v>
      </c>
      <c r="K1166" s="2">
        <v>268</v>
      </c>
      <c r="L1166" s="2">
        <v>33.840000000000003</v>
      </c>
      <c r="M1166" s="2">
        <v>792</v>
      </c>
      <c r="N1166" s="2">
        <v>524</v>
      </c>
      <c r="O1166" s="2">
        <v>258</v>
      </c>
      <c r="P1166" s="2">
        <v>33.840000000000003</v>
      </c>
    </row>
    <row r="1167" spans="1:16" x14ac:dyDescent="0.25">
      <c r="A1167" t="s">
        <v>15</v>
      </c>
      <c r="B1167" t="s">
        <v>1501</v>
      </c>
      <c r="C1167" t="s">
        <v>58</v>
      </c>
      <c r="D1167" t="s">
        <v>1538</v>
      </c>
      <c r="E1167" t="s">
        <v>47</v>
      </c>
      <c r="F1167" t="s">
        <v>1329</v>
      </c>
      <c r="G1167" s="1">
        <f>45841</f>
        <v>45841</v>
      </c>
      <c r="H1167" t="s">
        <v>2422</v>
      </c>
      <c r="I1167" s="2">
        <v>998.4</v>
      </c>
      <c r="J1167" s="2">
        <v>597.5</v>
      </c>
      <c r="K1167" s="2">
        <v>400.9</v>
      </c>
      <c r="L1167" s="2">
        <v>40.15</v>
      </c>
      <c r="M1167" s="2">
        <v>998.4</v>
      </c>
      <c r="N1167" s="2">
        <v>597.5</v>
      </c>
      <c r="O1167" s="2">
        <v>385.9</v>
      </c>
      <c r="P1167" s="2">
        <v>40.15</v>
      </c>
    </row>
    <row r="1168" spans="1:16" x14ac:dyDescent="0.25">
      <c r="A1168" t="s">
        <v>15</v>
      </c>
      <c r="B1168" t="s">
        <v>1501</v>
      </c>
      <c r="C1168" t="s">
        <v>58</v>
      </c>
      <c r="D1168" t="s">
        <v>1539</v>
      </c>
      <c r="E1168" t="s">
        <v>19</v>
      </c>
      <c r="F1168" t="s">
        <v>131</v>
      </c>
      <c r="G1168" s="1">
        <f>45842</f>
        <v>45842</v>
      </c>
      <c r="H1168" t="s">
        <v>56</v>
      </c>
      <c r="I1168" s="2">
        <v>259.60000000000002</v>
      </c>
      <c r="J1168" s="2">
        <v>178.03</v>
      </c>
      <c r="K1168" s="2">
        <v>81.569999999999993</v>
      </c>
      <c r="L1168" s="2">
        <v>31.42</v>
      </c>
      <c r="M1168" s="2">
        <v>259.60000000000002</v>
      </c>
      <c r="N1168" s="2">
        <v>174.4</v>
      </c>
      <c r="O1168" s="2">
        <v>85.2</v>
      </c>
      <c r="P1168" s="2">
        <v>32.82</v>
      </c>
    </row>
    <row r="1169" spans="1:16" x14ac:dyDescent="0.25">
      <c r="A1169" t="s">
        <v>15</v>
      </c>
      <c r="B1169" t="s">
        <v>1501</v>
      </c>
      <c r="C1169" t="s">
        <v>58</v>
      </c>
      <c r="D1169" t="s">
        <v>1540</v>
      </c>
      <c r="E1169" t="s">
        <v>19</v>
      </c>
      <c r="F1169" t="s">
        <v>64</v>
      </c>
      <c r="G1169" s="1">
        <f>45842</f>
        <v>45842</v>
      </c>
      <c r="H1169" t="s">
        <v>56</v>
      </c>
      <c r="I1169" s="2">
        <v>211.5</v>
      </c>
      <c r="J1169" s="2">
        <v>138.28</v>
      </c>
      <c r="K1169" s="2">
        <v>73.22</v>
      </c>
      <c r="L1169" s="2">
        <v>34.619999999999997</v>
      </c>
      <c r="M1169" s="2">
        <v>211.5</v>
      </c>
      <c r="N1169" s="2">
        <v>135.46</v>
      </c>
      <c r="O1169" s="2">
        <v>76.040000000000006</v>
      </c>
      <c r="P1169" s="2">
        <v>35.950000000000003</v>
      </c>
    </row>
    <row r="1170" spans="1:16" x14ac:dyDescent="0.25">
      <c r="A1170" t="s">
        <v>15</v>
      </c>
      <c r="B1170" t="s">
        <v>1501</v>
      </c>
      <c r="C1170" t="s">
        <v>58</v>
      </c>
      <c r="D1170" t="s">
        <v>1541</v>
      </c>
      <c r="E1170" t="s">
        <v>19</v>
      </c>
      <c r="F1170" t="s">
        <v>144</v>
      </c>
      <c r="G1170" s="1">
        <f>45842</f>
        <v>45842</v>
      </c>
      <c r="H1170" t="s">
        <v>56</v>
      </c>
      <c r="I1170" s="2">
        <v>4761.3999999999996</v>
      </c>
      <c r="J1170" s="2">
        <v>1681.72</v>
      </c>
      <c r="K1170" s="2">
        <v>3079.68</v>
      </c>
      <c r="L1170" s="2">
        <v>64.680000000000007</v>
      </c>
      <c r="M1170" s="2">
        <v>4761.3999999999996</v>
      </c>
      <c r="N1170" s="2">
        <v>1681.72</v>
      </c>
      <c r="O1170" s="2">
        <v>3020.68</v>
      </c>
      <c r="P1170" s="2">
        <v>64.680000000000007</v>
      </c>
    </row>
    <row r="1171" spans="1:16" x14ac:dyDescent="0.25">
      <c r="A1171" t="s">
        <v>15</v>
      </c>
      <c r="B1171" t="s">
        <v>1501</v>
      </c>
      <c r="C1171" t="s">
        <v>58</v>
      </c>
      <c r="D1171" t="s">
        <v>1542</v>
      </c>
      <c r="E1171" t="s">
        <v>19</v>
      </c>
      <c r="F1171" t="s">
        <v>408</v>
      </c>
      <c r="G1171" s="1">
        <f>45842</f>
        <v>45842</v>
      </c>
      <c r="H1171" t="s">
        <v>56</v>
      </c>
      <c r="I1171" s="2">
        <v>1341</v>
      </c>
      <c r="J1171" s="2">
        <v>754.9</v>
      </c>
      <c r="K1171" s="2">
        <v>586.1</v>
      </c>
      <c r="L1171" s="2">
        <v>43.71</v>
      </c>
      <c r="M1171" s="2">
        <v>1341</v>
      </c>
      <c r="N1171" s="2">
        <v>754.85</v>
      </c>
      <c r="O1171" s="2">
        <v>586.15</v>
      </c>
      <c r="P1171" s="2">
        <v>43.71</v>
      </c>
    </row>
    <row r="1172" spans="1:16" x14ac:dyDescent="0.25">
      <c r="A1172" t="s">
        <v>15</v>
      </c>
      <c r="B1172" t="s">
        <v>1501</v>
      </c>
      <c r="C1172" t="s">
        <v>58</v>
      </c>
      <c r="D1172" t="s">
        <v>1543</v>
      </c>
      <c r="E1172" t="s">
        <v>19</v>
      </c>
      <c r="F1172" t="s">
        <v>64</v>
      </c>
      <c r="G1172" s="1">
        <f>45845</f>
        <v>45845</v>
      </c>
      <c r="H1172" t="s">
        <v>56</v>
      </c>
      <c r="I1172" s="2">
        <v>930.96</v>
      </c>
      <c r="J1172" s="2">
        <v>532.20000000000005</v>
      </c>
      <c r="K1172" s="2">
        <v>398.76</v>
      </c>
      <c r="L1172" s="2">
        <v>42.83</v>
      </c>
      <c r="M1172" s="2">
        <v>930.96</v>
      </c>
      <c r="N1172" s="2">
        <v>530.09</v>
      </c>
      <c r="O1172" s="2">
        <v>372.87</v>
      </c>
      <c r="P1172" s="2">
        <v>43.06</v>
      </c>
    </row>
    <row r="1173" spans="1:16" x14ac:dyDescent="0.25">
      <c r="A1173" t="s">
        <v>15</v>
      </c>
      <c r="B1173" t="s">
        <v>1501</v>
      </c>
      <c r="C1173" t="s">
        <v>58</v>
      </c>
      <c r="D1173" t="s">
        <v>1544</v>
      </c>
      <c r="E1173" t="s">
        <v>19</v>
      </c>
      <c r="F1173" t="s">
        <v>64</v>
      </c>
      <c r="G1173" s="1">
        <f>45845</f>
        <v>45845</v>
      </c>
      <c r="H1173" t="s">
        <v>56</v>
      </c>
      <c r="I1173" s="2">
        <v>774</v>
      </c>
      <c r="J1173" s="2">
        <v>466.4</v>
      </c>
      <c r="K1173" s="2">
        <v>307.60000000000002</v>
      </c>
      <c r="L1173" s="2">
        <v>39.74</v>
      </c>
      <c r="M1173" s="2">
        <v>774</v>
      </c>
      <c r="N1173" s="2">
        <v>466.4</v>
      </c>
      <c r="O1173" s="2">
        <v>257.60000000000002</v>
      </c>
      <c r="P1173" s="2">
        <v>39.74</v>
      </c>
    </row>
    <row r="1174" spans="1:16" x14ac:dyDescent="0.25">
      <c r="A1174" t="s">
        <v>15</v>
      </c>
      <c r="B1174" t="s">
        <v>1501</v>
      </c>
      <c r="C1174" t="s">
        <v>58</v>
      </c>
      <c r="D1174" t="s">
        <v>1545</v>
      </c>
      <c r="E1174" t="s">
        <v>19</v>
      </c>
      <c r="F1174" t="s">
        <v>64</v>
      </c>
      <c r="G1174" s="1">
        <f>45846</f>
        <v>45846</v>
      </c>
      <c r="H1174" t="s">
        <v>56</v>
      </c>
      <c r="I1174" s="2">
        <v>285.05</v>
      </c>
      <c r="J1174" s="2">
        <v>175.93</v>
      </c>
      <c r="K1174" s="2">
        <v>109.13</v>
      </c>
      <c r="L1174" s="2">
        <v>38.28</v>
      </c>
      <c r="M1174" s="2">
        <v>285.05</v>
      </c>
      <c r="N1174" s="2">
        <v>175.93</v>
      </c>
      <c r="O1174" s="2">
        <v>81.13</v>
      </c>
      <c r="P1174" s="2">
        <v>38.28</v>
      </c>
    </row>
    <row r="1175" spans="1:16" x14ac:dyDescent="0.25">
      <c r="A1175" t="s">
        <v>15</v>
      </c>
      <c r="B1175" t="s">
        <v>1501</v>
      </c>
      <c r="C1175" t="s">
        <v>58</v>
      </c>
      <c r="D1175" t="s">
        <v>1546</v>
      </c>
      <c r="E1175" t="s">
        <v>19</v>
      </c>
      <c r="F1175" t="s">
        <v>465</v>
      </c>
      <c r="G1175" s="1">
        <f>45846</f>
        <v>45846</v>
      </c>
      <c r="H1175" t="s">
        <v>56</v>
      </c>
      <c r="I1175" s="2">
        <v>396.6</v>
      </c>
      <c r="J1175" s="2">
        <v>242.24</v>
      </c>
      <c r="K1175" s="2">
        <v>154.36000000000001</v>
      </c>
      <c r="L1175" s="2">
        <v>38.92</v>
      </c>
      <c r="M1175" s="2">
        <v>396.6</v>
      </c>
      <c r="N1175" s="2">
        <v>242.23</v>
      </c>
      <c r="O1175" s="2">
        <v>152.21</v>
      </c>
      <c r="P1175" s="2">
        <v>38.92</v>
      </c>
    </row>
    <row r="1176" spans="1:16" x14ac:dyDescent="0.25">
      <c r="A1176" t="s">
        <v>15</v>
      </c>
      <c r="B1176" t="s">
        <v>1501</v>
      </c>
      <c r="C1176" t="s">
        <v>58</v>
      </c>
      <c r="D1176" t="s">
        <v>1547</v>
      </c>
      <c r="E1176" t="s">
        <v>19</v>
      </c>
      <c r="F1176" t="s">
        <v>408</v>
      </c>
      <c r="G1176" s="1">
        <f>45845</f>
        <v>45845</v>
      </c>
      <c r="H1176" t="s">
        <v>56</v>
      </c>
      <c r="I1176" s="2">
        <v>401.5</v>
      </c>
      <c r="J1176" s="2">
        <v>247.37</v>
      </c>
      <c r="K1176" s="2">
        <v>154.13</v>
      </c>
      <c r="L1176" s="2">
        <v>38.39</v>
      </c>
      <c r="M1176" s="2">
        <v>401.5</v>
      </c>
      <c r="N1176" s="2">
        <v>247.27</v>
      </c>
      <c r="O1176" s="2">
        <v>142.96</v>
      </c>
      <c r="P1176" s="2">
        <v>38.409999999999997</v>
      </c>
    </row>
    <row r="1177" spans="1:16" x14ac:dyDescent="0.25">
      <c r="A1177" t="s">
        <v>15</v>
      </c>
      <c r="B1177" t="s">
        <v>1501</v>
      </c>
      <c r="C1177" t="s">
        <v>58</v>
      </c>
      <c r="D1177" t="s">
        <v>1548</v>
      </c>
      <c r="E1177" t="s">
        <v>47</v>
      </c>
      <c r="F1177" t="s">
        <v>103</v>
      </c>
      <c r="G1177" s="1">
        <f>45847</f>
        <v>45847</v>
      </c>
      <c r="H1177" t="s">
        <v>56</v>
      </c>
      <c r="I1177" s="2">
        <v>2568.1999999999998</v>
      </c>
      <c r="J1177" s="2">
        <v>1725.25</v>
      </c>
      <c r="K1177" s="2">
        <v>842.95</v>
      </c>
      <c r="L1177" s="2">
        <v>32.82</v>
      </c>
      <c r="M1177" s="2">
        <v>2568.1999999999998</v>
      </c>
      <c r="N1177" s="2">
        <v>1725.32</v>
      </c>
      <c r="O1177" s="2">
        <v>814.88</v>
      </c>
      <c r="P1177" s="2">
        <v>32.82</v>
      </c>
    </row>
    <row r="1178" spans="1:16" x14ac:dyDescent="0.25">
      <c r="A1178" t="s">
        <v>15</v>
      </c>
      <c r="B1178" t="s">
        <v>1501</v>
      </c>
      <c r="C1178" t="s">
        <v>58</v>
      </c>
      <c r="D1178" t="s">
        <v>1549</v>
      </c>
      <c r="E1178" t="s">
        <v>19</v>
      </c>
      <c r="F1178" t="s">
        <v>64</v>
      </c>
      <c r="G1178" s="1">
        <f>45847</f>
        <v>45847</v>
      </c>
      <c r="H1178" t="s">
        <v>56</v>
      </c>
      <c r="I1178" s="2">
        <v>1140.46</v>
      </c>
      <c r="J1178" s="2">
        <v>736</v>
      </c>
      <c r="K1178" s="2">
        <v>404.46</v>
      </c>
      <c r="L1178" s="2">
        <v>35.46</v>
      </c>
      <c r="M1178" s="2">
        <v>1140.46</v>
      </c>
      <c r="N1178" s="2">
        <v>736</v>
      </c>
      <c r="O1178" s="2">
        <v>340.46</v>
      </c>
      <c r="P1178" s="2">
        <v>35.46</v>
      </c>
    </row>
    <row r="1179" spans="1:16" x14ac:dyDescent="0.25">
      <c r="A1179" t="s">
        <v>15</v>
      </c>
      <c r="B1179" t="s">
        <v>1501</v>
      </c>
      <c r="C1179" t="s">
        <v>58</v>
      </c>
      <c r="D1179" t="s">
        <v>1550</v>
      </c>
      <c r="E1179" t="s">
        <v>19</v>
      </c>
      <c r="F1179" t="s">
        <v>123</v>
      </c>
      <c r="G1179" s="1">
        <f>45848</f>
        <v>45848</v>
      </c>
      <c r="H1179" t="s">
        <v>56</v>
      </c>
      <c r="I1179" s="2">
        <v>4147</v>
      </c>
      <c r="J1179" s="2">
        <v>2719.92</v>
      </c>
      <c r="K1179" s="2">
        <v>1427.08</v>
      </c>
      <c r="L1179" s="2">
        <v>34.409999999999997</v>
      </c>
      <c r="M1179" s="2">
        <v>4147</v>
      </c>
      <c r="N1179" s="2">
        <v>2719.92</v>
      </c>
      <c r="O1179" s="2">
        <v>1427.08</v>
      </c>
      <c r="P1179" s="2">
        <v>34.409999999999997</v>
      </c>
    </row>
    <row r="1180" spans="1:16" x14ac:dyDescent="0.25">
      <c r="A1180" t="s">
        <v>15</v>
      </c>
      <c r="B1180" t="s">
        <v>1501</v>
      </c>
      <c r="C1180" t="s">
        <v>58</v>
      </c>
      <c r="D1180" t="s">
        <v>1551</v>
      </c>
      <c r="E1180" t="s">
        <v>47</v>
      </c>
      <c r="F1180" t="s">
        <v>69</v>
      </c>
      <c r="G1180" s="1">
        <f>45847</f>
        <v>45847</v>
      </c>
      <c r="H1180" t="s">
        <v>84</v>
      </c>
      <c r="I1180" s="2">
        <v>0</v>
      </c>
      <c r="J1180" s="2">
        <v>0</v>
      </c>
      <c r="K1180" s="2">
        <v>0</v>
      </c>
      <c r="L1180" s="2">
        <v>0</v>
      </c>
      <c r="M1180" s="2">
        <v>130.28</v>
      </c>
      <c r="N1180" s="2">
        <v>234.26</v>
      </c>
      <c r="O1180" s="2">
        <v>-103.98</v>
      </c>
      <c r="P1180" s="2">
        <v>-79.81</v>
      </c>
    </row>
    <row r="1181" spans="1:16" x14ac:dyDescent="0.25">
      <c r="A1181" t="s">
        <v>15</v>
      </c>
      <c r="B1181" t="s">
        <v>1501</v>
      </c>
      <c r="C1181" t="s">
        <v>58</v>
      </c>
      <c r="D1181" t="s">
        <v>1552</v>
      </c>
      <c r="E1181" t="s">
        <v>47</v>
      </c>
      <c r="F1181" t="s">
        <v>69</v>
      </c>
      <c r="G1181" s="1">
        <f>45847</f>
        <v>45847</v>
      </c>
      <c r="H1181" t="s">
        <v>84</v>
      </c>
      <c r="I1181" s="2">
        <v>0</v>
      </c>
      <c r="J1181" s="2">
        <v>0</v>
      </c>
      <c r="K1181" s="2">
        <v>0</v>
      </c>
      <c r="L1181" s="2">
        <v>0</v>
      </c>
      <c r="M1181" s="2">
        <v>439.64</v>
      </c>
      <c r="N1181" s="2">
        <v>372.75</v>
      </c>
      <c r="O1181" s="2">
        <v>66.89</v>
      </c>
      <c r="P1181" s="2">
        <v>15.21</v>
      </c>
    </row>
    <row r="1182" spans="1:16" x14ac:dyDescent="0.25">
      <c r="A1182" t="s">
        <v>15</v>
      </c>
      <c r="B1182" t="s">
        <v>1501</v>
      </c>
      <c r="C1182" t="s">
        <v>58</v>
      </c>
      <c r="D1182" t="s">
        <v>1553</v>
      </c>
      <c r="E1182" t="s">
        <v>19</v>
      </c>
      <c r="F1182" t="s">
        <v>131</v>
      </c>
      <c r="G1182" s="1">
        <f>45848</f>
        <v>45848</v>
      </c>
      <c r="H1182" t="s">
        <v>56</v>
      </c>
      <c r="I1182" s="2">
        <v>969</v>
      </c>
      <c r="J1182" s="2">
        <v>475.75</v>
      </c>
      <c r="K1182" s="2">
        <v>493.25</v>
      </c>
      <c r="L1182" s="2">
        <v>50.9</v>
      </c>
      <c r="M1182" s="2">
        <v>969</v>
      </c>
      <c r="N1182" s="2">
        <v>475.85</v>
      </c>
      <c r="O1182" s="2">
        <v>448.15</v>
      </c>
      <c r="P1182" s="2">
        <v>50.89</v>
      </c>
    </row>
    <row r="1183" spans="1:16" x14ac:dyDescent="0.25">
      <c r="A1183" t="s">
        <v>15</v>
      </c>
      <c r="B1183" t="s">
        <v>1501</v>
      </c>
      <c r="C1183" t="s">
        <v>58</v>
      </c>
      <c r="D1183" t="s">
        <v>1554</v>
      </c>
      <c r="E1183" t="s">
        <v>19</v>
      </c>
      <c r="F1183" t="s">
        <v>450</v>
      </c>
      <c r="G1183" s="1">
        <f>45848</f>
        <v>45848</v>
      </c>
      <c r="H1183" t="s">
        <v>56</v>
      </c>
      <c r="I1183" s="2">
        <v>1086</v>
      </c>
      <c r="J1183" s="2">
        <v>747.29</v>
      </c>
      <c r="K1183" s="2">
        <v>338.71</v>
      </c>
      <c r="L1183" s="2">
        <v>31.19</v>
      </c>
      <c r="M1183" s="2">
        <v>1086</v>
      </c>
      <c r="N1183" s="2">
        <v>747.29</v>
      </c>
      <c r="O1183" s="2">
        <v>329.71</v>
      </c>
      <c r="P1183" s="2">
        <v>31.19</v>
      </c>
    </row>
    <row r="1184" spans="1:16" x14ac:dyDescent="0.25">
      <c r="A1184" t="s">
        <v>15</v>
      </c>
      <c r="B1184" t="s">
        <v>1501</v>
      </c>
      <c r="C1184" t="s">
        <v>58</v>
      </c>
      <c r="D1184" t="s">
        <v>1555</v>
      </c>
      <c r="E1184" t="s">
        <v>19</v>
      </c>
      <c r="F1184" t="s">
        <v>64</v>
      </c>
      <c r="G1184" s="1">
        <f>45848</f>
        <v>45848</v>
      </c>
      <c r="H1184" t="s">
        <v>56</v>
      </c>
      <c r="I1184" s="2">
        <v>252</v>
      </c>
      <c r="J1184" s="2">
        <v>167.57</v>
      </c>
      <c r="K1184" s="2">
        <v>84.43</v>
      </c>
      <c r="L1184" s="2">
        <v>33.5</v>
      </c>
      <c r="M1184" s="2">
        <v>252</v>
      </c>
      <c r="N1184" s="2">
        <v>167.57</v>
      </c>
      <c r="O1184" s="2">
        <v>56.43</v>
      </c>
      <c r="P1184" s="2">
        <v>33.5</v>
      </c>
    </row>
    <row r="1185" spans="1:16" x14ac:dyDescent="0.25">
      <c r="A1185" t="s">
        <v>15</v>
      </c>
      <c r="B1185" t="s">
        <v>1501</v>
      </c>
      <c r="C1185" t="s">
        <v>58</v>
      </c>
      <c r="D1185" t="s">
        <v>1556</v>
      </c>
      <c r="E1185" t="s">
        <v>19</v>
      </c>
      <c r="F1185" t="s">
        <v>465</v>
      </c>
      <c r="G1185" s="1">
        <f>45849</f>
        <v>45849</v>
      </c>
      <c r="H1185" t="s">
        <v>56</v>
      </c>
      <c r="I1185" s="2">
        <v>2187</v>
      </c>
      <c r="J1185" s="2">
        <v>1374.79</v>
      </c>
      <c r="K1185" s="2">
        <v>812.21</v>
      </c>
      <c r="L1185" s="2">
        <v>37.14</v>
      </c>
      <c r="M1185" s="2">
        <v>2187</v>
      </c>
      <c r="N1185" s="2">
        <v>1370.66</v>
      </c>
      <c r="O1185" s="2">
        <v>679.34</v>
      </c>
      <c r="P1185" s="2">
        <v>37.33</v>
      </c>
    </row>
    <row r="1186" spans="1:16" x14ac:dyDescent="0.25">
      <c r="A1186" t="s">
        <v>15</v>
      </c>
      <c r="B1186" t="s">
        <v>1501</v>
      </c>
      <c r="C1186" t="s">
        <v>58</v>
      </c>
      <c r="D1186" t="s">
        <v>1557</v>
      </c>
      <c r="E1186" t="s">
        <v>19</v>
      </c>
      <c r="F1186" t="s">
        <v>755</v>
      </c>
      <c r="G1186" s="1">
        <f>45849</f>
        <v>45849</v>
      </c>
      <c r="H1186" t="s">
        <v>56</v>
      </c>
      <c r="I1186" s="2">
        <v>1685</v>
      </c>
      <c r="J1186" s="2">
        <v>1065.93</v>
      </c>
      <c r="K1186" s="2">
        <v>619.07000000000005</v>
      </c>
      <c r="L1186" s="2">
        <v>36.74</v>
      </c>
      <c r="M1186" s="2">
        <v>1685</v>
      </c>
      <c r="N1186" s="2">
        <v>1044.69</v>
      </c>
      <c r="O1186" s="2">
        <v>615.30999999999995</v>
      </c>
      <c r="P1186" s="2">
        <v>38</v>
      </c>
    </row>
    <row r="1187" spans="1:16" x14ac:dyDescent="0.25">
      <c r="A1187" t="s">
        <v>15</v>
      </c>
      <c r="B1187" t="s">
        <v>1501</v>
      </c>
      <c r="C1187" t="s">
        <v>58</v>
      </c>
      <c r="D1187" t="s">
        <v>1558</v>
      </c>
      <c r="E1187" t="s">
        <v>47</v>
      </c>
      <c r="F1187" t="s">
        <v>131</v>
      </c>
      <c r="G1187" s="1">
        <f>45849</f>
        <v>45849</v>
      </c>
      <c r="H1187" t="s">
        <v>56</v>
      </c>
      <c r="I1187" s="2">
        <v>987.92</v>
      </c>
      <c r="J1187" s="2">
        <v>541.36</v>
      </c>
      <c r="K1187" s="2">
        <v>446.56</v>
      </c>
      <c r="L1187" s="2">
        <v>45.2</v>
      </c>
      <c r="M1187" s="2">
        <v>987.92</v>
      </c>
      <c r="N1187" s="2">
        <v>540.41</v>
      </c>
      <c r="O1187" s="2">
        <v>375.51</v>
      </c>
      <c r="P1187" s="2">
        <v>45.3</v>
      </c>
    </row>
    <row r="1188" spans="1:16" x14ac:dyDescent="0.25">
      <c r="A1188" t="s">
        <v>15</v>
      </c>
      <c r="B1188" t="s">
        <v>1501</v>
      </c>
      <c r="C1188" t="s">
        <v>58</v>
      </c>
      <c r="D1188" t="s">
        <v>1559</v>
      </c>
      <c r="E1188" t="s">
        <v>47</v>
      </c>
      <c r="F1188" t="s">
        <v>131</v>
      </c>
      <c r="G1188" s="1">
        <f>45849</f>
        <v>45849</v>
      </c>
      <c r="H1188" t="s">
        <v>56</v>
      </c>
      <c r="I1188" s="2">
        <v>514.61</v>
      </c>
      <c r="J1188" s="2">
        <v>214.74</v>
      </c>
      <c r="K1188" s="2">
        <v>299.87</v>
      </c>
      <c r="L1188" s="2">
        <v>58.27</v>
      </c>
      <c r="M1188" s="2">
        <v>514.61</v>
      </c>
      <c r="N1188" s="2">
        <v>214.74</v>
      </c>
      <c r="O1188" s="2">
        <v>291.87</v>
      </c>
      <c r="P1188" s="2">
        <v>58.27</v>
      </c>
    </row>
    <row r="1189" spans="1:16" x14ac:dyDescent="0.25">
      <c r="A1189" t="s">
        <v>15</v>
      </c>
      <c r="B1189" t="s">
        <v>1501</v>
      </c>
      <c r="C1189" t="s">
        <v>58</v>
      </c>
      <c r="D1189" t="s">
        <v>1560</v>
      </c>
      <c r="E1189" t="s">
        <v>19</v>
      </c>
      <c r="F1189" t="s">
        <v>755</v>
      </c>
      <c r="G1189" s="1">
        <f>45849</f>
        <v>45849</v>
      </c>
      <c r="H1189" t="s">
        <v>56</v>
      </c>
      <c r="I1189" s="2">
        <v>364.9</v>
      </c>
      <c r="J1189" s="2">
        <v>234.16</v>
      </c>
      <c r="K1189" s="2">
        <v>130.74</v>
      </c>
      <c r="L1189" s="2">
        <v>35.83</v>
      </c>
      <c r="M1189" s="2">
        <v>364.9</v>
      </c>
      <c r="N1189" s="2">
        <v>229.74</v>
      </c>
      <c r="O1189" s="2">
        <v>117.5</v>
      </c>
      <c r="P1189" s="2">
        <v>37.04</v>
      </c>
    </row>
    <row r="1190" spans="1:16" x14ac:dyDescent="0.25">
      <c r="A1190" t="s">
        <v>15</v>
      </c>
      <c r="B1190" t="s">
        <v>1501</v>
      </c>
      <c r="C1190" t="s">
        <v>58</v>
      </c>
      <c r="D1190" t="s">
        <v>1561</v>
      </c>
      <c r="E1190" t="s">
        <v>47</v>
      </c>
      <c r="F1190" t="s">
        <v>69</v>
      </c>
      <c r="G1190" s="1">
        <f>45849</f>
        <v>45849</v>
      </c>
      <c r="H1190" t="s">
        <v>84</v>
      </c>
      <c r="I1190" s="2">
        <v>0</v>
      </c>
      <c r="J1190" s="2">
        <v>0</v>
      </c>
      <c r="K1190" s="2">
        <v>0</v>
      </c>
      <c r="L1190" s="2">
        <v>0</v>
      </c>
      <c r="M1190" s="2">
        <v>2.75</v>
      </c>
      <c r="N1190" s="2">
        <v>2.35</v>
      </c>
      <c r="O1190" s="2">
        <v>0.4</v>
      </c>
      <c r="P1190" s="2">
        <v>14.55</v>
      </c>
    </row>
    <row r="1191" spans="1:16" x14ac:dyDescent="0.25">
      <c r="A1191" t="s">
        <v>15</v>
      </c>
      <c r="B1191" t="s">
        <v>1501</v>
      </c>
      <c r="C1191" t="s">
        <v>58</v>
      </c>
      <c r="D1191" t="s">
        <v>1562</v>
      </c>
      <c r="E1191" t="s">
        <v>47</v>
      </c>
      <c r="F1191" t="s">
        <v>69</v>
      </c>
      <c r="G1191" s="1">
        <f>45849</f>
        <v>45849</v>
      </c>
      <c r="H1191" t="s">
        <v>84</v>
      </c>
      <c r="I1191" s="2">
        <v>0</v>
      </c>
      <c r="J1191" s="2">
        <v>0</v>
      </c>
      <c r="K1191" s="2">
        <v>0</v>
      </c>
      <c r="L1191" s="2">
        <v>0</v>
      </c>
      <c r="M1191" s="2">
        <v>52.96</v>
      </c>
      <c r="N1191" s="2">
        <v>44.49</v>
      </c>
      <c r="O1191" s="2">
        <v>8.4700000000000006</v>
      </c>
      <c r="P1191" s="2">
        <v>16</v>
      </c>
    </row>
    <row r="1192" spans="1:16" x14ac:dyDescent="0.25">
      <c r="A1192" t="s">
        <v>15</v>
      </c>
      <c r="B1192" t="s">
        <v>1501</v>
      </c>
      <c r="C1192" t="s">
        <v>58</v>
      </c>
      <c r="D1192" t="s">
        <v>1563</v>
      </c>
      <c r="E1192" t="s">
        <v>47</v>
      </c>
      <c r="F1192" t="s">
        <v>1564</v>
      </c>
      <c r="G1192" s="1">
        <f>45853</f>
        <v>45853</v>
      </c>
      <c r="H1192" t="s">
        <v>2422</v>
      </c>
      <c r="I1192" s="2">
        <v>203.3</v>
      </c>
      <c r="J1192" s="2">
        <v>162.6</v>
      </c>
      <c r="K1192" s="2">
        <v>40.700000000000003</v>
      </c>
      <c r="L1192" s="2">
        <v>20.02</v>
      </c>
      <c r="M1192" s="2">
        <v>203.3</v>
      </c>
      <c r="N1192" s="2">
        <v>162.6</v>
      </c>
      <c r="O1192" s="2">
        <v>31.7</v>
      </c>
      <c r="P1192" s="2">
        <v>20.02</v>
      </c>
    </row>
    <row r="1193" spans="1:16" x14ac:dyDescent="0.25">
      <c r="A1193" t="s">
        <v>15</v>
      </c>
      <c r="B1193" t="s">
        <v>1501</v>
      </c>
      <c r="C1193" t="s">
        <v>58</v>
      </c>
      <c r="D1193" t="s">
        <v>1565</v>
      </c>
      <c r="E1193" t="s">
        <v>19</v>
      </c>
      <c r="F1193" t="s">
        <v>64</v>
      </c>
      <c r="G1193" s="1">
        <f>45853</f>
        <v>45853</v>
      </c>
      <c r="H1193" t="s">
        <v>56</v>
      </c>
      <c r="I1193" s="2">
        <v>457.4</v>
      </c>
      <c r="J1193" s="2">
        <v>239.53</v>
      </c>
      <c r="K1193" s="2">
        <v>217.87</v>
      </c>
      <c r="L1193" s="2">
        <v>47.63</v>
      </c>
      <c r="M1193" s="2">
        <v>457.4</v>
      </c>
      <c r="N1193" s="2">
        <v>239.53</v>
      </c>
      <c r="O1193" s="2">
        <v>217.87</v>
      </c>
      <c r="P1193" s="2">
        <v>47.63</v>
      </c>
    </row>
    <row r="1194" spans="1:16" x14ac:dyDescent="0.25">
      <c r="A1194" t="s">
        <v>15</v>
      </c>
      <c r="B1194" t="s">
        <v>1501</v>
      </c>
      <c r="C1194" t="s">
        <v>58</v>
      </c>
      <c r="D1194" t="s">
        <v>1566</v>
      </c>
      <c r="E1194" t="s">
        <v>47</v>
      </c>
      <c r="F1194" t="s">
        <v>692</v>
      </c>
      <c r="G1194" s="1">
        <f>45854</f>
        <v>45854</v>
      </c>
      <c r="H1194" t="s">
        <v>56</v>
      </c>
      <c r="I1194" s="2">
        <v>4214</v>
      </c>
      <c r="J1194" s="2">
        <v>2812.32</v>
      </c>
      <c r="K1194" s="2">
        <v>1401.68</v>
      </c>
      <c r="L1194" s="2">
        <v>33.26</v>
      </c>
      <c r="M1194" s="2">
        <v>4214</v>
      </c>
      <c r="N1194" s="2">
        <v>2812.32</v>
      </c>
      <c r="O1194" s="2">
        <v>1379.68</v>
      </c>
      <c r="P1194" s="2">
        <v>33.26</v>
      </c>
    </row>
    <row r="1195" spans="1:16" x14ac:dyDescent="0.25">
      <c r="A1195" t="s">
        <v>15</v>
      </c>
      <c r="B1195" t="s">
        <v>1501</v>
      </c>
      <c r="C1195" t="s">
        <v>58</v>
      </c>
      <c r="D1195" t="s">
        <v>1567</v>
      </c>
      <c r="E1195" t="s">
        <v>19</v>
      </c>
      <c r="F1195" t="s">
        <v>443</v>
      </c>
      <c r="G1195" s="1">
        <f>45855</f>
        <v>45855</v>
      </c>
      <c r="H1195" t="s">
        <v>56</v>
      </c>
      <c r="I1195" s="2">
        <v>216.9</v>
      </c>
      <c r="J1195" s="2">
        <v>163.46</v>
      </c>
      <c r="K1195" s="2">
        <v>53.44</v>
      </c>
      <c r="L1195" s="2">
        <v>24.64</v>
      </c>
      <c r="M1195" s="2">
        <v>216.9</v>
      </c>
      <c r="N1195" s="2">
        <v>163.46</v>
      </c>
      <c r="O1195" s="2">
        <v>20.440000000000001</v>
      </c>
      <c r="P1195" s="2">
        <v>24.64</v>
      </c>
    </row>
    <row r="1196" spans="1:16" x14ac:dyDescent="0.25">
      <c r="A1196" t="s">
        <v>15</v>
      </c>
      <c r="B1196" t="s">
        <v>1501</v>
      </c>
      <c r="C1196" t="s">
        <v>58</v>
      </c>
      <c r="D1196" t="s">
        <v>1568</v>
      </c>
      <c r="E1196" t="s">
        <v>19</v>
      </c>
      <c r="F1196" t="s">
        <v>75</v>
      </c>
      <c r="G1196" s="1">
        <f>45855</f>
        <v>45855</v>
      </c>
      <c r="H1196" t="s">
        <v>56</v>
      </c>
      <c r="I1196" s="2">
        <v>256</v>
      </c>
      <c r="J1196" s="2">
        <v>153.6</v>
      </c>
      <c r="K1196" s="2">
        <v>102.4</v>
      </c>
      <c r="L1196" s="2">
        <v>40</v>
      </c>
      <c r="M1196" s="2">
        <v>256</v>
      </c>
      <c r="N1196" s="2">
        <v>153.6</v>
      </c>
      <c r="O1196" s="2">
        <v>77.400000000000006</v>
      </c>
      <c r="P1196" s="2">
        <v>40</v>
      </c>
    </row>
    <row r="1197" spans="1:16" x14ac:dyDescent="0.25">
      <c r="A1197" t="s">
        <v>15</v>
      </c>
      <c r="B1197" t="s">
        <v>1501</v>
      </c>
      <c r="C1197" t="s">
        <v>58</v>
      </c>
      <c r="D1197" t="s">
        <v>1569</v>
      </c>
      <c r="E1197" t="s">
        <v>47</v>
      </c>
      <c r="F1197" t="s">
        <v>69</v>
      </c>
      <c r="G1197" s="1">
        <f>45856</f>
        <v>45856</v>
      </c>
      <c r="H1197" t="s">
        <v>70</v>
      </c>
      <c r="I1197" s="2">
        <v>0</v>
      </c>
      <c r="J1197" s="2">
        <v>0</v>
      </c>
      <c r="K1197" s="2">
        <v>0</v>
      </c>
      <c r="L1197" s="2">
        <v>0</v>
      </c>
      <c r="M1197" s="2">
        <v>125.13</v>
      </c>
      <c r="N1197" s="2">
        <v>106.16</v>
      </c>
      <c r="O1197" s="2">
        <v>18.97</v>
      </c>
      <c r="P1197" s="2">
        <v>15.16</v>
      </c>
    </row>
    <row r="1198" spans="1:16" x14ac:dyDescent="0.25">
      <c r="A1198" t="s">
        <v>15</v>
      </c>
      <c r="B1198" t="s">
        <v>1501</v>
      </c>
      <c r="C1198" t="s">
        <v>58</v>
      </c>
      <c r="D1198" t="s">
        <v>1570</v>
      </c>
      <c r="E1198" t="s">
        <v>19</v>
      </c>
      <c r="F1198" t="s">
        <v>698</v>
      </c>
      <c r="G1198" s="1">
        <f>45859</f>
        <v>45859</v>
      </c>
      <c r="H1198" t="s">
        <v>51</v>
      </c>
      <c r="I1198" s="2">
        <v>1954</v>
      </c>
      <c r="J1198" s="2">
        <v>1242.95</v>
      </c>
      <c r="K1198" s="2">
        <v>711.05</v>
      </c>
      <c r="L1198" s="2">
        <v>36.39</v>
      </c>
      <c r="M1198" s="2">
        <v>1954</v>
      </c>
      <c r="N1198" s="2">
        <v>1242.95</v>
      </c>
      <c r="O1198" s="2">
        <v>639.1</v>
      </c>
      <c r="P1198" s="2">
        <v>36.39</v>
      </c>
    </row>
    <row r="1199" spans="1:16" x14ac:dyDescent="0.25">
      <c r="A1199" t="s">
        <v>15</v>
      </c>
      <c r="B1199" t="s">
        <v>1501</v>
      </c>
      <c r="C1199" t="s">
        <v>58</v>
      </c>
      <c r="D1199" t="s">
        <v>1571</v>
      </c>
      <c r="E1199" t="s">
        <v>19</v>
      </c>
      <c r="F1199" t="s">
        <v>702</v>
      </c>
      <c r="G1199" s="1">
        <f>45859</f>
        <v>45859</v>
      </c>
      <c r="H1199" t="s">
        <v>51</v>
      </c>
      <c r="I1199" s="2">
        <v>497</v>
      </c>
      <c r="J1199" s="2">
        <v>302.42</v>
      </c>
      <c r="K1199" s="2">
        <v>194.58</v>
      </c>
      <c r="L1199" s="2">
        <v>39.15</v>
      </c>
      <c r="M1199" s="2">
        <v>497</v>
      </c>
      <c r="N1199" s="2">
        <v>302.42</v>
      </c>
      <c r="O1199" s="2">
        <v>158.58000000000001</v>
      </c>
      <c r="P1199" s="2">
        <v>39.15</v>
      </c>
    </row>
    <row r="1200" spans="1:16" x14ac:dyDescent="0.25">
      <c r="A1200" t="s">
        <v>15</v>
      </c>
      <c r="B1200" t="s">
        <v>1501</v>
      </c>
      <c r="C1200" t="s">
        <v>58</v>
      </c>
      <c r="D1200" t="s">
        <v>1572</v>
      </c>
      <c r="E1200" t="s">
        <v>19</v>
      </c>
      <c r="F1200" t="s">
        <v>64</v>
      </c>
      <c r="G1200" s="1">
        <f>45859</f>
        <v>45859</v>
      </c>
      <c r="H1200" t="s">
        <v>51</v>
      </c>
      <c r="I1200" s="2">
        <v>619.6</v>
      </c>
      <c r="J1200" s="2">
        <v>392.25</v>
      </c>
      <c r="K1200" s="2">
        <v>227.35</v>
      </c>
      <c r="L1200" s="2">
        <v>36.69</v>
      </c>
      <c r="M1200" s="2">
        <v>619.6</v>
      </c>
      <c r="N1200" s="2">
        <v>392.25</v>
      </c>
      <c r="O1200" s="2">
        <v>185.35</v>
      </c>
      <c r="P1200" s="2">
        <v>36.69</v>
      </c>
    </row>
    <row r="1201" spans="1:16" x14ac:dyDescent="0.25">
      <c r="A1201" t="s">
        <v>15</v>
      </c>
      <c r="B1201" t="s">
        <v>1501</v>
      </c>
      <c r="C1201" t="s">
        <v>58</v>
      </c>
      <c r="D1201" t="s">
        <v>1573</v>
      </c>
      <c r="E1201" t="s">
        <v>19</v>
      </c>
      <c r="F1201" t="s">
        <v>64</v>
      </c>
      <c r="G1201" s="1">
        <f>45859</f>
        <v>45859</v>
      </c>
      <c r="H1201" t="s">
        <v>51</v>
      </c>
      <c r="I1201" s="2">
        <v>422</v>
      </c>
      <c r="J1201" s="2">
        <v>271.66000000000003</v>
      </c>
      <c r="K1201" s="2">
        <v>150.34</v>
      </c>
      <c r="L1201" s="2">
        <v>35.630000000000003</v>
      </c>
      <c r="M1201" s="2">
        <v>422</v>
      </c>
      <c r="N1201" s="2">
        <v>271.66000000000003</v>
      </c>
      <c r="O1201" s="2">
        <v>125.34</v>
      </c>
      <c r="P1201" s="2">
        <v>35.630000000000003</v>
      </c>
    </row>
    <row r="1202" spans="1:16" x14ac:dyDescent="0.25">
      <c r="A1202" t="s">
        <v>15</v>
      </c>
      <c r="B1202" t="s">
        <v>1501</v>
      </c>
      <c r="C1202" t="s">
        <v>58</v>
      </c>
      <c r="D1202" t="s">
        <v>1574</v>
      </c>
      <c r="E1202" t="s">
        <v>19</v>
      </c>
      <c r="F1202" t="s">
        <v>408</v>
      </c>
      <c r="G1202" s="1">
        <f>45861</f>
        <v>45861</v>
      </c>
      <c r="H1202" t="s">
        <v>51</v>
      </c>
      <c r="I1202" s="2">
        <v>377.1</v>
      </c>
      <c r="J1202" s="2">
        <v>257.08999999999997</v>
      </c>
      <c r="K1202" s="2">
        <v>120.01</v>
      </c>
      <c r="L1202" s="2">
        <v>31.82</v>
      </c>
      <c r="M1202" s="2">
        <v>377.1</v>
      </c>
      <c r="N1202" s="2">
        <v>257.08999999999997</v>
      </c>
      <c r="O1202" s="2">
        <v>79.010000000000005</v>
      </c>
      <c r="P1202" s="2">
        <v>31.82</v>
      </c>
    </row>
    <row r="1203" spans="1:16" x14ac:dyDescent="0.25">
      <c r="A1203" t="s">
        <v>15</v>
      </c>
      <c r="B1203" t="s">
        <v>1501</v>
      </c>
      <c r="C1203" t="s">
        <v>58</v>
      </c>
      <c r="D1203" t="s">
        <v>1575</v>
      </c>
      <c r="E1203" t="s">
        <v>47</v>
      </c>
      <c r="F1203" t="s">
        <v>67</v>
      </c>
      <c r="G1203" s="1">
        <f>45861</f>
        <v>45861</v>
      </c>
      <c r="H1203" t="s">
        <v>51</v>
      </c>
      <c r="I1203" s="2">
        <v>262.7</v>
      </c>
      <c r="J1203" s="2">
        <v>162.16</v>
      </c>
      <c r="K1203" s="2">
        <v>100.54</v>
      </c>
      <c r="L1203" s="2">
        <v>38.270000000000003</v>
      </c>
      <c r="M1203" s="2">
        <v>262.7</v>
      </c>
      <c r="N1203" s="2">
        <v>162.16</v>
      </c>
      <c r="O1203" s="2">
        <v>55.54</v>
      </c>
      <c r="P1203" s="2">
        <v>38.270000000000003</v>
      </c>
    </row>
    <row r="1204" spans="1:16" x14ac:dyDescent="0.25">
      <c r="A1204" t="s">
        <v>15</v>
      </c>
      <c r="B1204" t="s">
        <v>1501</v>
      </c>
      <c r="C1204" t="s">
        <v>58</v>
      </c>
      <c r="D1204" t="s">
        <v>1576</v>
      </c>
      <c r="E1204" t="s">
        <v>19</v>
      </c>
      <c r="F1204" t="s">
        <v>728</v>
      </c>
      <c r="G1204" s="1">
        <f>45861</f>
        <v>45861</v>
      </c>
      <c r="H1204" t="s">
        <v>51</v>
      </c>
      <c r="I1204" s="2">
        <v>508.6</v>
      </c>
      <c r="J1204" s="2">
        <v>349.6</v>
      </c>
      <c r="K1204" s="2">
        <v>159</v>
      </c>
      <c r="L1204" s="2">
        <v>31.26</v>
      </c>
      <c r="M1204" s="2">
        <v>508.6</v>
      </c>
      <c r="N1204" s="2">
        <v>349.6</v>
      </c>
      <c r="O1204" s="2">
        <v>150</v>
      </c>
      <c r="P1204" s="2">
        <v>31.26</v>
      </c>
    </row>
    <row r="1205" spans="1:16" x14ac:dyDescent="0.25">
      <c r="A1205" t="s">
        <v>15</v>
      </c>
      <c r="B1205" t="s">
        <v>1501</v>
      </c>
      <c r="C1205" t="s">
        <v>58</v>
      </c>
      <c r="D1205" t="s">
        <v>1577</v>
      </c>
      <c r="E1205" t="s">
        <v>19</v>
      </c>
      <c r="F1205" t="s">
        <v>62</v>
      </c>
      <c r="G1205" s="1">
        <f>45862</f>
        <v>45862</v>
      </c>
      <c r="H1205" t="s">
        <v>51</v>
      </c>
      <c r="I1205" s="2">
        <v>762.5</v>
      </c>
      <c r="J1205" s="2">
        <v>460.98</v>
      </c>
      <c r="K1205" s="2">
        <v>301.52</v>
      </c>
      <c r="L1205" s="2">
        <v>39.54</v>
      </c>
      <c r="M1205" s="2">
        <v>762.5</v>
      </c>
      <c r="N1205" s="2">
        <v>480.05</v>
      </c>
      <c r="O1205" s="2">
        <v>282.45</v>
      </c>
      <c r="P1205" s="2">
        <v>37.04</v>
      </c>
    </row>
    <row r="1206" spans="1:16" x14ac:dyDescent="0.25">
      <c r="A1206" t="s">
        <v>15</v>
      </c>
      <c r="B1206" t="s">
        <v>1501</v>
      </c>
      <c r="C1206" t="s">
        <v>58</v>
      </c>
      <c r="D1206" t="s">
        <v>1578</v>
      </c>
      <c r="E1206" t="s">
        <v>19</v>
      </c>
      <c r="F1206" t="s">
        <v>103</v>
      </c>
      <c r="G1206" s="1">
        <f>45862</f>
        <v>45862</v>
      </c>
      <c r="H1206" t="s">
        <v>51</v>
      </c>
      <c r="I1206" s="2">
        <v>988.2</v>
      </c>
      <c r="J1206" s="2">
        <v>669.61</v>
      </c>
      <c r="K1206" s="2">
        <v>318.58999999999997</v>
      </c>
      <c r="L1206" s="2">
        <v>32.24</v>
      </c>
      <c r="M1206" s="2">
        <v>988.2</v>
      </c>
      <c r="N1206" s="2">
        <v>669.61</v>
      </c>
      <c r="O1206" s="2">
        <v>283.58999999999997</v>
      </c>
      <c r="P1206" s="2">
        <v>32.24</v>
      </c>
    </row>
    <row r="1207" spans="1:16" x14ac:dyDescent="0.25">
      <c r="A1207" t="s">
        <v>15</v>
      </c>
      <c r="B1207" t="s">
        <v>1501</v>
      </c>
      <c r="C1207" t="s">
        <v>58</v>
      </c>
      <c r="D1207" t="s">
        <v>1579</v>
      </c>
      <c r="E1207" t="s">
        <v>19</v>
      </c>
      <c r="F1207" t="s">
        <v>144</v>
      </c>
      <c r="G1207" s="1">
        <f>45862</f>
        <v>45862</v>
      </c>
      <c r="H1207" t="s">
        <v>51</v>
      </c>
      <c r="I1207" s="2">
        <v>1404.4</v>
      </c>
      <c r="J1207" s="2">
        <v>945.3</v>
      </c>
      <c r="K1207" s="2">
        <v>459.1</v>
      </c>
      <c r="L1207" s="2">
        <v>32.69</v>
      </c>
      <c r="M1207" s="2">
        <v>1404.4</v>
      </c>
      <c r="N1207" s="2">
        <v>945.3</v>
      </c>
      <c r="O1207" s="2">
        <v>414.43</v>
      </c>
      <c r="P1207" s="2">
        <v>32.69</v>
      </c>
    </row>
    <row r="1208" spans="1:16" x14ac:dyDescent="0.25">
      <c r="A1208" t="s">
        <v>15</v>
      </c>
      <c r="B1208" t="s">
        <v>1501</v>
      </c>
      <c r="C1208" t="s">
        <v>58</v>
      </c>
      <c r="D1208" t="s">
        <v>1580</v>
      </c>
      <c r="E1208" t="s">
        <v>19</v>
      </c>
      <c r="F1208" t="s">
        <v>89</v>
      </c>
      <c r="G1208" s="1">
        <f>45862</f>
        <v>45862</v>
      </c>
      <c r="H1208" t="s">
        <v>51</v>
      </c>
      <c r="I1208" s="2">
        <v>711.3</v>
      </c>
      <c r="J1208" s="2">
        <v>446.93</v>
      </c>
      <c r="K1208" s="2">
        <v>264.37</v>
      </c>
      <c r="L1208" s="2">
        <v>37.17</v>
      </c>
      <c r="M1208" s="2">
        <v>711.3</v>
      </c>
      <c r="N1208" s="2">
        <v>447.03</v>
      </c>
      <c r="O1208" s="2">
        <v>253.41</v>
      </c>
      <c r="P1208" s="2">
        <v>37.15</v>
      </c>
    </row>
    <row r="1209" spans="1:16" x14ac:dyDescent="0.25">
      <c r="A1209" t="s">
        <v>15</v>
      </c>
      <c r="B1209" t="s">
        <v>1501</v>
      </c>
      <c r="C1209" t="s">
        <v>58</v>
      </c>
      <c r="D1209" t="s">
        <v>1581</v>
      </c>
      <c r="E1209" t="s">
        <v>19</v>
      </c>
      <c r="F1209" t="s">
        <v>964</v>
      </c>
      <c r="G1209" s="1">
        <f>45862</f>
        <v>45862</v>
      </c>
      <c r="H1209" t="s">
        <v>51</v>
      </c>
      <c r="I1209" s="2">
        <v>2638.1</v>
      </c>
      <c r="J1209" s="2">
        <v>1892.56</v>
      </c>
      <c r="K1209" s="2">
        <v>745.54</v>
      </c>
      <c r="L1209" s="2">
        <v>28.26</v>
      </c>
      <c r="M1209" s="2">
        <v>2638.1</v>
      </c>
      <c r="N1209" s="2">
        <v>1892.56</v>
      </c>
      <c r="O1209" s="2">
        <v>687.54</v>
      </c>
      <c r="P1209" s="2">
        <v>28.26</v>
      </c>
    </row>
    <row r="1210" spans="1:16" x14ac:dyDescent="0.25">
      <c r="A1210" t="s">
        <v>15</v>
      </c>
      <c r="B1210" t="s">
        <v>1501</v>
      </c>
      <c r="C1210" t="s">
        <v>58</v>
      </c>
      <c r="D1210" t="s">
        <v>1582</v>
      </c>
      <c r="E1210" t="s">
        <v>19</v>
      </c>
      <c r="F1210" t="s">
        <v>64</v>
      </c>
      <c r="G1210" s="1">
        <f>45862</f>
        <v>45862</v>
      </c>
      <c r="H1210" t="s">
        <v>51</v>
      </c>
      <c r="I1210" s="2">
        <v>329.66</v>
      </c>
      <c r="J1210" s="2">
        <v>247.14</v>
      </c>
      <c r="K1210" s="2">
        <v>82.52</v>
      </c>
      <c r="L1210" s="2">
        <v>25.03</v>
      </c>
      <c r="M1210" s="2">
        <v>329.66</v>
      </c>
      <c r="N1210" s="2">
        <v>247.15</v>
      </c>
      <c r="O1210" s="2">
        <v>77.66</v>
      </c>
      <c r="P1210" s="2">
        <v>25.03</v>
      </c>
    </row>
    <row r="1211" spans="1:16" x14ac:dyDescent="0.25">
      <c r="A1211" t="s">
        <v>15</v>
      </c>
      <c r="B1211" t="s">
        <v>1501</v>
      </c>
      <c r="C1211" t="s">
        <v>58</v>
      </c>
      <c r="D1211" t="s">
        <v>1583</v>
      </c>
      <c r="E1211" t="s">
        <v>19</v>
      </c>
      <c r="F1211" t="s">
        <v>698</v>
      </c>
      <c r="G1211" s="1">
        <f>45863</f>
        <v>45863</v>
      </c>
      <c r="H1211" t="s">
        <v>51</v>
      </c>
      <c r="I1211" s="2">
        <v>926.6</v>
      </c>
      <c r="J1211" s="2">
        <v>583.6</v>
      </c>
      <c r="K1211" s="2">
        <v>343</v>
      </c>
      <c r="L1211" s="2">
        <v>37.020000000000003</v>
      </c>
      <c r="M1211" s="2">
        <v>926.6</v>
      </c>
      <c r="N1211" s="2">
        <v>583.6</v>
      </c>
      <c r="O1211" s="2">
        <v>297</v>
      </c>
      <c r="P1211" s="2">
        <v>37.020000000000003</v>
      </c>
    </row>
    <row r="1212" spans="1:16" x14ac:dyDescent="0.25">
      <c r="A1212" t="s">
        <v>15</v>
      </c>
      <c r="B1212" t="s">
        <v>1501</v>
      </c>
      <c r="C1212" t="s">
        <v>58</v>
      </c>
      <c r="D1212" t="s">
        <v>1584</v>
      </c>
      <c r="E1212" t="s">
        <v>19</v>
      </c>
      <c r="F1212" t="s">
        <v>144</v>
      </c>
      <c r="G1212" s="1">
        <f>45866</f>
        <v>45866</v>
      </c>
      <c r="H1212" t="s">
        <v>51</v>
      </c>
      <c r="I1212" s="2">
        <v>610.9</v>
      </c>
      <c r="J1212" s="2">
        <v>391.81</v>
      </c>
      <c r="K1212" s="2">
        <v>219.09</v>
      </c>
      <c r="L1212" s="2">
        <v>35.86</v>
      </c>
      <c r="M1212" s="2">
        <v>610.9</v>
      </c>
      <c r="N1212" s="2">
        <v>391.81</v>
      </c>
      <c r="O1212" s="2">
        <v>210.09</v>
      </c>
      <c r="P1212" s="2">
        <v>35.86</v>
      </c>
    </row>
    <row r="1213" spans="1:16" x14ac:dyDescent="0.25">
      <c r="A1213" t="s">
        <v>15</v>
      </c>
      <c r="B1213" t="s">
        <v>1501</v>
      </c>
      <c r="C1213" t="s">
        <v>58</v>
      </c>
      <c r="D1213" t="s">
        <v>1585</v>
      </c>
      <c r="E1213" t="s">
        <v>19</v>
      </c>
      <c r="F1213" t="s">
        <v>408</v>
      </c>
      <c r="G1213" s="1">
        <f>45866</f>
        <v>45866</v>
      </c>
      <c r="H1213" t="s">
        <v>51</v>
      </c>
      <c r="I1213" s="2">
        <v>357.15</v>
      </c>
      <c r="J1213" s="2">
        <v>193.38</v>
      </c>
      <c r="K1213" s="2">
        <v>163.77000000000001</v>
      </c>
      <c r="L1213" s="2">
        <v>45.85</v>
      </c>
      <c r="M1213" s="2">
        <v>357.15</v>
      </c>
      <c r="N1213" s="2">
        <v>193.38</v>
      </c>
      <c r="O1213" s="2">
        <v>163.77000000000001</v>
      </c>
      <c r="P1213" s="2">
        <v>45.85</v>
      </c>
    </row>
    <row r="1214" spans="1:16" x14ac:dyDescent="0.25">
      <c r="A1214" t="s">
        <v>15</v>
      </c>
      <c r="B1214" t="s">
        <v>1501</v>
      </c>
      <c r="C1214" t="s">
        <v>58</v>
      </c>
      <c r="D1214" t="s">
        <v>1586</v>
      </c>
      <c r="E1214" t="s">
        <v>19</v>
      </c>
      <c r="F1214" t="s">
        <v>465</v>
      </c>
      <c r="G1214" s="1">
        <f>45868</f>
        <v>45868</v>
      </c>
      <c r="H1214" t="s">
        <v>51</v>
      </c>
      <c r="I1214" s="2">
        <v>2138.27</v>
      </c>
      <c r="J1214" s="2">
        <v>1464.06</v>
      </c>
      <c r="K1214" s="2">
        <v>674.21</v>
      </c>
      <c r="L1214" s="2">
        <v>31.53</v>
      </c>
      <c r="M1214" s="2">
        <v>2138.27</v>
      </c>
      <c r="N1214" s="2">
        <v>1464.09</v>
      </c>
      <c r="O1214" s="2">
        <v>631.63</v>
      </c>
      <c r="P1214" s="2">
        <v>31.53</v>
      </c>
    </row>
    <row r="1215" spans="1:16" x14ac:dyDescent="0.25">
      <c r="A1215" t="s">
        <v>15</v>
      </c>
      <c r="B1215" t="s">
        <v>1501</v>
      </c>
      <c r="C1215" t="s">
        <v>58</v>
      </c>
      <c r="D1215" t="s">
        <v>1587</v>
      </c>
      <c r="E1215" t="s">
        <v>19</v>
      </c>
      <c r="F1215" t="s">
        <v>1165</v>
      </c>
      <c r="G1215" s="1">
        <f>45868</f>
        <v>45868</v>
      </c>
      <c r="H1215" t="s">
        <v>51</v>
      </c>
      <c r="I1215" s="2">
        <v>1392.5</v>
      </c>
      <c r="J1215" s="2">
        <v>906.27</v>
      </c>
      <c r="K1215" s="2">
        <v>486.23</v>
      </c>
      <c r="L1215" s="2">
        <v>34.92</v>
      </c>
      <c r="M1215" s="2">
        <v>1392.5</v>
      </c>
      <c r="N1215" s="2">
        <v>906.27</v>
      </c>
      <c r="O1215" s="2">
        <v>439.23</v>
      </c>
      <c r="P1215" s="2">
        <v>34.92</v>
      </c>
    </row>
    <row r="1216" spans="1:16" x14ac:dyDescent="0.25">
      <c r="A1216" t="s">
        <v>15</v>
      </c>
      <c r="B1216" t="s">
        <v>1501</v>
      </c>
      <c r="C1216" t="s">
        <v>58</v>
      </c>
      <c r="D1216" t="s">
        <v>1588</v>
      </c>
      <c r="E1216" t="s">
        <v>19</v>
      </c>
      <c r="F1216" t="s">
        <v>62</v>
      </c>
      <c r="G1216" s="1">
        <f>45869</f>
        <v>45869</v>
      </c>
      <c r="H1216" t="s">
        <v>51</v>
      </c>
      <c r="I1216" s="2">
        <v>262</v>
      </c>
      <c r="J1216" s="2">
        <v>155.12</v>
      </c>
      <c r="K1216" s="2">
        <v>106.88</v>
      </c>
      <c r="L1216" s="2">
        <v>40.79</v>
      </c>
      <c r="M1216" s="2">
        <v>262</v>
      </c>
      <c r="N1216" s="2">
        <v>125.12</v>
      </c>
      <c r="O1216" s="2">
        <v>127.88</v>
      </c>
      <c r="P1216" s="2">
        <v>52.24</v>
      </c>
    </row>
    <row r="1217" spans="1:16" x14ac:dyDescent="0.25">
      <c r="A1217" t="s">
        <v>15</v>
      </c>
      <c r="B1217" t="s">
        <v>1501</v>
      </c>
      <c r="C1217" t="s">
        <v>58</v>
      </c>
      <c r="D1217" t="s">
        <v>1589</v>
      </c>
      <c r="E1217" t="s">
        <v>19</v>
      </c>
      <c r="F1217" t="s">
        <v>131</v>
      </c>
      <c r="G1217" s="1">
        <f>45854</f>
        <v>45854</v>
      </c>
      <c r="H1217" t="s">
        <v>56</v>
      </c>
      <c r="I1217" s="2">
        <v>4335</v>
      </c>
      <c r="J1217" s="2">
        <v>2964.6</v>
      </c>
      <c r="K1217" s="2">
        <v>1370.4</v>
      </c>
      <c r="L1217" s="2">
        <v>31.61</v>
      </c>
      <c r="M1217" s="2">
        <v>4335</v>
      </c>
      <c r="N1217" s="2">
        <v>2867.27</v>
      </c>
      <c r="O1217" s="2">
        <v>1277.55</v>
      </c>
      <c r="P1217" s="2">
        <v>33.86</v>
      </c>
    </row>
    <row r="1218" spans="1:16" x14ac:dyDescent="0.25">
      <c r="A1218" t="s">
        <v>15</v>
      </c>
      <c r="B1218" t="s">
        <v>1501</v>
      </c>
      <c r="C1218" t="s">
        <v>58</v>
      </c>
      <c r="D1218" t="s">
        <v>1590</v>
      </c>
      <c r="E1218" t="s">
        <v>47</v>
      </c>
      <c r="F1218" t="s">
        <v>103</v>
      </c>
      <c r="G1218" s="1">
        <f>45860</f>
        <v>45860</v>
      </c>
      <c r="H1218" t="s">
        <v>56</v>
      </c>
      <c r="I1218" s="2">
        <v>4800</v>
      </c>
      <c r="J1218" s="2">
        <v>2844.61</v>
      </c>
      <c r="K1218" s="2">
        <v>1955.39</v>
      </c>
      <c r="L1218" s="2">
        <v>40.74</v>
      </c>
      <c r="M1218" s="2">
        <v>210</v>
      </c>
      <c r="N1218" s="2">
        <v>64</v>
      </c>
      <c r="O1218" s="2">
        <v>146</v>
      </c>
      <c r="P1218" s="2">
        <v>69.52</v>
      </c>
    </row>
    <row r="1219" spans="1:16" x14ac:dyDescent="0.25">
      <c r="A1219" t="s">
        <v>15</v>
      </c>
      <c r="B1219" t="s">
        <v>1501</v>
      </c>
      <c r="C1219" t="s">
        <v>58</v>
      </c>
      <c r="D1219" t="s">
        <v>1591</v>
      </c>
      <c r="E1219" t="s">
        <v>47</v>
      </c>
      <c r="F1219" t="s">
        <v>964</v>
      </c>
      <c r="G1219" s="1">
        <f>45867</f>
        <v>45867</v>
      </c>
      <c r="H1219" t="s">
        <v>56</v>
      </c>
      <c r="I1219" s="2">
        <v>2564.8000000000002</v>
      </c>
      <c r="J1219" s="2">
        <v>1553.86</v>
      </c>
      <c r="K1219" s="2">
        <v>1010.94</v>
      </c>
      <c r="L1219" s="2">
        <v>39.42</v>
      </c>
      <c r="M1219" s="2">
        <v>2564.8000000000002</v>
      </c>
      <c r="N1219" s="2">
        <v>1553.86</v>
      </c>
      <c r="O1219" s="2">
        <v>960.94</v>
      </c>
      <c r="P1219" s="2">
        <v>39.42</v>
      </c>
    </row>
    <row r="1220" spans="1:16" x14ac:dyDescent="0.25">
      <c r="A1220" t="s">
        <v>15</v>
      </c>
      <c r="B1220" t="s">
        <v>1501</v>
      </c>
      <c r="C1220" t="s">
        <v>58</v>
      </c>
      <c r="D1220" t="s">
        <v>1592</v>
      </c>
      <c r="E1220" t="s">
        <v>19</v>
      </c>
      <c r="F1220" t="s">
        <v>702</v>
      </c>
      <c r="G1220" s="1">
        <f>45869</f>
        <v>45869</v>
      </c>
      <c r="H1220" t="s">
        <v>51</v>
      </c>
      <c r="I1220" s="2">
        <v>890</v>
      </c>
      <c r="J1220" s="2">
        <v>32.01</v>
      </c>
      <c r="K1220" s="2">
        <v>857.99</v>
      </c>
      <c r="L1220" s="2">
        <v>96.4</v>
      </c>
      <c r="M1220" s="2">
        <v>890</v>
      </c>
      <c r="N1220" s="2">
        <v>32.01</v>
      </c>
      <c r="O1220" s="2">
        <v>857.99</v>
      </c>
      <c r="P1220" s="2">
        <v>96.4</v>
      </c>
    </row>
    <row r="1221" spans="1:16" x14ac:dyDescent="0.25">
      <c r="A1221" t="s">
        <v>15</v>
      </c>
      <c r="B1221" t="s">
        <v>1501</v>
      </c>
      <c r="C1221" t="s">
        <v>187</v>
      </c>
      <c r="D1221" t="s">
        <v>1593</v>
      </c>
      <c r="E1221" t="s">
        <v>47</v>
      </c>
      <c r="F1221" t="s">
        <v>217</v>
      </c>
      <c r="G1221" s="1">
        <f>45840</f>
        <v>45840</v>
      </c>
      <c r="H1221" t="s">
        <v>2422</v>
      </c>
      <c r="I1221" s="2">
        <v>342.15</v>
      </c>
      <c r="J1221" s="2">
        <v>232.65</v>
      </c>
      <c r="K1221" s="2">
        <v>109.5</v>
      </c>
      <c r="L1221" s="2">
        <v>32</v>
      </c>
      <c r="M1221" s="2">
        <v>342.15</v>
      </c>
      <c r="N1221" s="2">
        <v>233.65</v>
      </c>
      <c r="O1221" s="2">
        <v>71.5</v>
      </c>
      <c r="P1221" s="2">
        <v>31.71</v>
      </c>
    </row>
    <row r="1222" spans="1:16" x14ac:dyDescent="0.25">
      <c r="A1222" t="s">
        <v>15</v>
      </c>
      <c r="B1222" t="s">
        <v>1501</v>
      </c>
      <c r="C1222" t="s">
        <v>187</v>
      </c>
      <c r="D1222" t="s">
        <v>1594</v>
      </c>
      <c r="E1222" t="s">
        <v>47</v>
      </c>
      <c r="F1222" t="s">
        <v>191</v>
      </c>
      <c r="G1222" s="1">
        <f>45840</f>
        <v>45840</v>
      </c>
      <c r="H1222" t="s">
        <v>2422</v>
      </c>
      <c r="I1222" s="2">
        <v>11865.5</v>
      </c>
      <c r="J1222" s="2">
        <v>8324.91</v>
      </c>
      <c r="K1222" s="2">
        <v>3540.59</v>
      </c>
      <c r="L1222" s="2">
        <v>29.84</v>
      </c>
      <c r="M1222" s="2">
        <v>11865.5</v>
      </c>
      <c r="N1222" s="2">
        <v>8324.91</v>
      </c>
      <c r="O1222" s="2">
        <v>3420.59</v>
      </c>
      <c r="P1222" s="2">
        <v>29.84</v>
      </c>
    </row>
    <row r="1223" spans="1:16" x14ac:dyDescent="0.25">
      <c r="A1223" t="s">
        <v>15</v>
      </c>
      <c r="B1223" t="s">
        <v>1501</v>
      </c>
      <c r="C1223" t="s">
        <v>187</v>
      </c>
      <c r="D1223" t="s">
        <v>1595</v>
      </c>
      <c r="E1223" t="s">
        <v>47</v>
      </c>
      <c r="F1223" t="s">
        <v>1037</v>
      </c>
      <c r="G1223" s="1">
        <f>45841</f>
        <v>45841</v>
      </c>
      <c r="H1223" t="s">
        <v>2422</v>
      </c>
      <c r="I1223" s="2">
        <v>624.9</v>
      </c>
      <c r="J1223" s="2">
        <v>431.01</v>
      </c>
      <c r="K1223" s="2">
        <v>193.89</v>
      </c>
      <c r="L1223" s="2">
        <v>31.03</v>
      </c>
      <c r="M1223" s="2">
        <v>624.9</v>
      </c>
      <c r="N1223" s="2">
        <v>431.01</v>
      </c>
      <c r="O1223" s="2">
        <v>159.88999999999999</v>
      </c>
      <c r="P1223" s="2">
        <v>31.03</v>
      </c>
    </row>
    <row r="1224" spans="1:16" x14ac:dyDescent="0.25">
      <c r="A1224" t="s">
        <v>15</v>
      </c>
      <c r="B1224" t="s">
        <v>1501</v>
      </c>
      <c r="C1224" t="s">
        <v>187</v>
      </c>
      <c r="D1224" t="s">
        <v>1596</v>
      </c>
      <c r="E1224" t="s">
        <v>47</v>
      </c>
      <c r="F1224" t="s">
        <v>1597</v>
      </c>
      <c r="G1224" s="1">
        <f>45841</f>
        <v>45841</v>
      </c>
      <c r="H1224" t="s">
        <v>2422</v>
      </c>
      <c r="I1224" s="2">
        <v>1230</v>
      </c>
      <c r="J1224" s="2">
        <v>815</v>
      </c>
      <c r="K1224" s="2">
        <v>415</v>
      </c>
      <c r="L1224" s="2">
        <v>33.74</v>
      </c>
      <c r="M1224" s="2">
        <v>1230</v>
      </c>
      <c r="N1224" s="2">
        <v>815</v>
      </c>
      <c r="O1224" s="2">
        <v>365</v>
      </c>
      <c r="P1224" s="2">
        <v>33.74</v>
      </c>
    </row>
    <row r="1225" spans="1:16" x14ac:dyDescent="0.25">
      <c r="A1225" t="s">
        <v>15</v>
      </c>
      <c r="B1225" t="s">
        <v>1501</v>
      </c>
      <c r="C1225" t="s">
        <v>187</v>
      </c>
      <c r="D1225" t="s">
        <v>1598</v>
      </c>
      <c r="E1225" t="s">
        <v>47</v>
      </c>
      <c r="F1225" t="s">
        <v>1599</v>
      </c>
      <c r="G1225" s="1">
        <f>45841</f>
        <v>45841</v>
      </c>
      <c r="H1225" t="s">
        <v>2422</v>
      </c>
      <c r="I1225" s="2">
        <v>727</v>
      </c>
      <c r="J1225" s="2">
        <v>535.08000000000004</v>
      </c>
      <c r="K1225" s="2">
        <v>191.92</v>
      </c>
      <c r="L1225" s="2">
        <v>26.4</v>
      </c>
      <c r="M1225" s="2">
        <v>727</v>
      </c>
      <c r="N1225" s="2">
        <v>535.08000000000004</v>
      </c>
      <c r="O1225" s="2">
        <v>152.91999999999999</v>
      </c>
      <c r="P1225" s="2">
        <v>26.4</v>
      </c>
    </row>
    <row r="1226" spans="1:16" x14ac:dyDescent="0.25">
      <c r="A1226" t="s">
        <v>15</v>
      </c>
      <c r="B1226" t="s">
        <v>1501</v>
      </c>
      <c r="C1226" t="s">
        <v>187</v>
      </c>
      <c r="D1226" t="s">
        <v>1600</v>
      </c>
      <c r="E1226" t="s">
        <v>47</v>
      </c>
      <c r="F1226" t="s">
        <v>224</v>
      </c>
      <c r="G1226" s="1">
        <f>45842</f>
        <v>45842</v>
      </c>
      <c r="H1226" t="s">
        <v>2422</v>
      </c>
      <c r="I1226" s="2">
        <v>1078.7</v>
      </c>
      <c r="J1226" s="2">
        <v>728.73</v>
      </c>
      <c r="K1226" s="2">
        <v>349.97</v>
      </c>
      <c r="L1226" s="2">
        <v>32.44</v>
      </c>
      <c r="M1226" s="2">
        <v>1078.7</v>
      </c>
      <c r="N1226" s="2">
        <v>728.73</v>
      </c>
      <c r="O1226" s="2">
        <v>207.97</v>
      </c>
      <c r="P1226" s="2">
        <v>32.44</v>
      </c>
    </row>
    <row r="1227" spans="1:16" x14ac:dyDescent="0.25">
      <c r="A1227" t="s">
        <v>15</v>
      </c>
      <c r="B1227" t="s">
        <v>1501</v>
      </c>
      <c r="C1227" t="s">
        <v>187</v>
      </c>
      <c r="D1227" t="s">
        <v>1601</v>
      </c>
      <c r="E1227" t="s">
        <v>47</v>
      </c>
      <c r="F1227" t="s">
        <v>219</v>
      </c>
      <c r="G1227" s="1">
        <f>45842</f>
        <v>45842</v>
      </c>
      <c r="H1227" t="s">
        <v>2422</v>
      </c>
      <c r="I1227" s="2">
        <v>651.4</v>
      </c>
      <c r="J1227" s="2">
        <v>478.58</v>
      </c>
      <c r="K1227" s="2">
        <v>172.82</v>
      </c>
      <c r="L1227" s="2">
        <v>26.53</v>
      </c>
      <c r="M1227" s="2">
        <v>651.4</v>
      </c>
      <c r="N1227" s="2">
        <v>478.86</v>
      </c>
      <c r="O1227" s="2">
        <v>163.54</v>
      </c>
      <c r="P1227" s="2">
        <v>26.49</v>
      </c>
    </row>
    <row r="1228" spans="1:16" x14ac:dyDescent="0.25">
      <c r="A1228" t="s">
        <v>15</v>
      </c>
      <c r="B1228" t="s">
        <v>1501</v>
      </c>
      <c r="C1228" t="s">
        <v>187</v>
      </c>
      <c r="D1228" t="s">
        <v>1602</v>
      </c>
      <c r="E1228" t="s">
        <v>47</v>
      </c>
      <c r="F1228" t="s">
        <v>228</v>
      </c>
      <c r="G1228" s="1">
        <f>45845</f>
        <v>45845</v>
      </c>
      <c r="H1228" t="s">
        <v>2422</v>
      </c>
      <c r="I1228" s="2">
        <v>323.39999999999998</v>
      </c>
      <c r="J1228" s="2">
        <v>131.44999999999999</v>
      </c>
      <c r="K1228" s="2">
        <v>191.95</v>
      </c>
      <c r="L1228" s="2">
        <v>59.35</v>
      </c>
      <c r="M1228" s="2">
        <v>323.39999999999998</v>
      </c>
      <c r="N1228" s="2">
        <v>131.44999999999999</v>
      </c>
      <c r="O1228" s="2">
        <v>163.1</v>
      </c>
      <c r="P1228" s="2">
        <v>59.35</v>
      </c>
    </row>
    <row r="1229" spans="1:16" x14ac:dyDescent="0.25">
      <c r="A1229" t="s">
        <v>15</v>
      </c>
      <c r="B1229" t="s">
        <v>1501</v>
      </c>
      <c r="C1229" t="s">
        <v>187</v>
      </c>
      <c r="D1229" t="s">
        <v>1603</v>
      </c>
      <c r="E1229" t="s">
        <v>47</v>
      </c>
      <c r="F1229" t="s">
        <v>191</v>
      </c>
      <c r="G1229" s="1">
        <f>45845</f>
        <v>45845</v>
      </c>
      <c r="H1229" t="s">
        <v>2422</v>
      </c>
      <c r="I1229" s="2">
        <v>166.8</v>
      </c>
      <c r="J1229" s="2">
        <v>81.06</v>
      </c>
      <c r="K1229" s="2">
        <v>85.74</v>
      </c>
      <c r="L1229" s="2">
        <v>51.4</v>
      </c>
      <c r="M1229" s="2">
        <v>166.8</v>
      </c>
      <c r="N1229" s="2">
        <v>81.06</v>
      </c>
      <c r="O1229" s="2">
        <v>66.739999999999995</v>
      </c>
      <c r="P1229" s="2">
        <v>51.4</v>
      </c>
    </row>
    <row r="1230" spans="1:16" x14ac:dyDescent="0.25">
      <c r="A1230" t="s">
        <v>15</v>
      </c>
      <c r="B1230" t="s">
        <v>1501</v>
      </c>
      <c r="C1230" t="s">
        <v>187</v>
      </c>
      <c r="D1230" t="s">
        <v>1604</v>
      </c>
      <c r="E1230" t="s">
        <v>47</v>
      </c>
      <c r="F1230" t="s">
        <v>213</v>
      </c>
      <c r="G1230" s="1">
        <f>45847</f>
        <v>45847</v>
      </c>
      <c r="H1230" t="s">
        <v>2422</v>
      </c>
      <c r="I1230" s="2">
        <v>386.6</v>
      </c>
      <c r="J1230" s="2">
        <v>271.5</v>
      </c>
      <c r="K1230" s="2">
        <v>115.1</v>
      </c>
      <c r="L1230" s="2">
        <v>29.77</v>
      </c>
      <c r="M1230" s="2">
        <v>386.6</v>
      </c>
      <c r="N1230" s="2">
        <v>271.5</v>
      </c>
      <c r="O1230" s="2">
        <v>106.1</v>
      </c>
      <c r="P1230" s="2">
        <v>29.77</v>
      </c>
    </row>
    <row r="1231" spans="1:16" x14ac:dyDescent="0.25">
      <c r="A1231" t="s">
        <v>15</v>
      </c>
      <c r="B1231" t="s">
        <v>1501</v>
      </c>
      <c r="C1231" t="s">
        <v>187</v>
      </c>
      <c r="D1231" t="s">
        <v>1605</v>
      </c>
      <c r="E1231" t="s">
        <v>47</v>
      </c>
      <c r="F1231" t="s">
        <v>191</v>
      </c>
      <c r="G1231" s="1">
        <f>45849</f>
        <v>45849</v>
      </c>
      <c r="H1231" t="s">
        <v>2422</v>
      </c>
      <c r="I1231" s="2">
        <v>707</v>
      </c>
      <c r="J1231" s="2">
        <v>424</v>
      </c>
      <c r="K1231" s="2">
        <v>283</v>
      </c>
      <c r="L1231" s="2">
        <v>40.03</v>
      </c>
      <c r="M1231" s="2">
        <v>707</v>
      </c>
      <c r="N1231" s="2">
        <v>424</v>
      </c>
      <c r="O1231" s="2">
        <v>249</v>
      </c>
      <c r="P1231" s="2">
        <v>40.03</v>
      </c>
    </row>
    <row r="1232" spans="1:16" x14ac:dyDescent="0.25">
      <c r="A1232" t="s">
        <v>15</v>
      </c>
      <c r="B1232" t="s">
        <v>1501</v>
      </c>
      <c r="C1232" t="s">
        <v>187</v>
      </c>
      <c r="D1232" t="s">
        <v>1606</v>
      </c>
      <c r="E1232" t="s">
        <v>19</v>
      </c>
      <c r="F1232" t="s">
        <v>193</v>
      </c>
      <c r="G1232" s="1">
        <f>45853</f>
        <v>45853</v>
      </c>
      <c r="H1232" t="s">
        <v>51</v>
      </c>
      <c r="I1232" s="2">
        <v>632</v>
      </c>
      <c r="J1232" s="2">
        <v>457.2</v>
      </c>
      <c r="K1232" s="2">
        <v>174.8</v>
      </c>
      <c r="L1232" s="2">
        <v>27.66</v>
      </c>
      <c r="M1232" s="2">
        <v>632</v>
      </c>
      <c r="N1232" s="2">
        <v>457.2</v>
      </c>
      <c r="O1232" s="2">
        <v>120.3</v>
      </c>
      <c r="P1232" s="2">
        <v>27.66</v>
      </c>
    </row>
    <row r="1233" spans="1:16" x14ac:dyDescent="0.25">
      <c r="A1233" t="s">
        <v>15</v>
      </c>
      <c r="B1233" t="s">
        <v>1501</v>
      </c>
      <c r="C1233" t="s">
        <v>187</v>
      </c>
      <c r="D1233" t="s">
        <v>1607</v>
      </c>
      <c r="E1233" t="s">
        <v>19</v>
      </c>
      <c r="F1233" t="s">
        <v>191</v>
      </c>
      <c r="G1233" s="1">
        <f>45853</f>
        <v>45853</v>
      </c>
      <c r="H1233" t="s">
        <v>51</v>
      </c>
      <c r="I1233" s="2">
        <v>1152.5</v>
      </c>
      <c r="J1233" s="2">
        <v>828.96</v>
      </c>
      <c r="K1233" s="2">
        <v>323.54000000000002</v>
      </c>
      <c r="L1233" s="2">
        <v>28.07</v>
      </c>
      <c r="M1233" s="2">
        <v>1152.5</v>
      </c>
      <c r="N1233" s="2">
        <v>828.96</v>
      </c>
      <c r="O1233" s="2">
        <v>274.54000000000002</v>
      </c>
      <c r="P1233" s="2">
        <v>28.07</v>
      </c>
    </row>
    <row r="1234" spans="1:16" x14ac:dyDescent="0.25">
      <c r="A1234" t="s">
        <v>15</v>
      </c>
      <c r="B1234" t="s">
        <v>1501</v>
      </c>
      <c r="C1234" t="s">
        <v>187</v>
      </c>
      <c r="D1234" t="s">
        <v>1608</v>
      </c>
      <c r="E1234" t="s">
        <v>19</v>
      </c>
      <c r="F1234" t="s">
        <v>189</v>
      </c>
      <c r="G1234" s="1">
        <f>45855</f>
        <v>45855</v>
      </c>
      <c r="H1234" t="s">
        <v>51</v>
      </c>
      <c r="I1234" s="2">
        <v>151.6</v>
      </c>
      <c r="J1234" s="2">
        <v>54.48</v>
      </c>
      <c r="K1234" s="2">
        <v>97.12</v>
      </c>
      <c r="L1234" s="2">
        <v>64.06</v>
      </c>
      <c r="M1234" s="2">
        <v>151.6</v>
      </c>
      <c r="N1234" s="2">
        <v>54.48</v>
      </c>
      <c r="O1234" s="2">
        <v>88.12</v>
      </c>
      <c r="P1234" s="2">
        <v>64.06</v>
      </c>
    </row>
    <row r="1235" spans="1:16" x14ac:dyDescent="0.25">
      <c r="A1235" t="s">
        <v>15</v>
      </c>
      <c r="B1235" t="s">
        <v>1501</v>
      </c>
      <c r="C1235" t="s">
        <v>187</v>
      </c>
      <c r="D1235" t="s">
        <v>1609</v>
      </c>
      <c r="E1235" t="s">
        <v>19</v>
      </c>
      <c r="F1235" t="s">
        <v>211</v>
      </c>
      <c r="G1235" s="1">
        <f>45855</f>
        <v>45855</v>
      </c>
      <c r="H1235" t="s">
        <v>51</v>
      </c>
      <c r="I1235" s="2">
        <v>3949.84</v>
      </c>
      <c r="J1235" s="2">
        <v>2095.79</v>
      </c>
      <c r="K1235" s="2">
        <v>1854.05</v>
      </c>
      <c r="L1235" s="2">
        <v>46.94</v>
      </c>
      <c r="M1235" s="2">
        <v>3949.84</v>
      </c>
      <c r="N1235" s="2">
        <v>2095.79</v>
      </c>
      <c r="O1235" s="2">
        <v>1649.05</v>
      </c>
      <c r="P1235" s="2">
        <v>46.94</v>
      </c>
    </row>
    <row r="1236" spans="1:16" x14ac:dyDescent="0.25">
      <c r="A1236" t="s">
        <v>15</v>
      </c>
      <c r="B1236" t="s">
        <v>1501</v>
      </c>
      <c r="C1236" t="s">
        <v>187</v>
      </c>
      <c r="D1236" t="s">
        <v>1610</v>
      </c>
      <c r="E1236" t="s">
        <v>19</v>
      </c>
      <c r="F1236" t="s">
        <v>200</v>
      </c>
      <c r="G1236" s="1">
        <f>45855</f>
        <v>45855</v>
      </c>
      <c r="H1236" t="s">
        <v>51</v>
      </c>
      <c r="I1236" s="2">
        <v>1937</v>
      </c>
      <c r="J1236" s="2">
        <v>1286</v>
      </c>
      <c r="K1236" s="2">
        <v>651</v>
      </c>
      <c r="L1236" s="2">
        <v>33.61</v>
      </c>
      <c r="M1236" s="2">
        <v>1937</v>
      </c>
      <c r="N1236" s="2">
        <v>1286</v>
      </c>
      <c r="O1236" s="2">
        <v>609</v>
      </c>
      <c r="P1236" s="2">
        <v>33.61</v>
      </c>
    </row>
    <row r="1237" spans="1:16" x14ac:dyDescent="0.25">
      <c r="A1237" t="s">
        <v>15</v>
      </c>
      <c r="B1237" t="s">
        <v>1501</v>
      </c>
      <c r="C1237" t="s">
        <v>187</v>
      </c>
      <c r="D1237" t="s">
        <v>1611</v>
      </c>
      <c r="E1237" t="s">
        <v>19</v>
      </c>
      <c r="F1237" t="s">
        <v>501</v>
      </c>
      <c r="G1237" s="1">
        <f>45855</f>
        <v>45855</v>
      </c>
      <c r="H1237" t="s">
        <v>51</v>
      </c>
      <c r="I1237" s="2">
        <v>1520.1</v>
      </c>
      <c r="J1237" s="2">
        <v>1201.01</v>
      </c>
      <c r="K1237" s="2">
        <v>319.08999999999997</v>
      </c>
      <c r="L1237" s="2">
        <v>20.99</v>
      </c>
      <c r="M1237" s="2">
        <v>1520.1</v>
      </c>
      <c r="N1237" s="2">
        <v>1202.02</v>
      </c>
      <c r="O1237" s="2">
        <v>318.08</v>
      </c>
      <c r="P1237" s="2">
        <v>20.92</v>
      </c>
    </row>
    <row r="1238" spans="1:16" x14ac:dyDescent="0.25">
      <c r="A1238" t="s">
        <v>15</v>
      </c>
      <c r="B1238" t="s">
        <v>1501</v>
      </c>
      <c r="C1238" t="s">
        <v>187</v>
      </c>
      <c r="D1238" t="s">
        <v>1612</v>
      </c>
      <c r="E1238" t="s">
        <v>19</v>
      </c>
      <c r="F1238" t="s">
        <v>1229</v>
      </c>
      <c r="G1238" s="1">
        <f>45860</f>
        <v>45860</v>
      </c>
      <c r="H1238" t="s">
        <v>51</v>
      </c>
      <c r="I1238" s="2">
        <v>2842.94</v>
      </c>
      <c r="J1238" s="2">
        <v>1977.56</v>
      </c>
      <c r="K1238" s="2">
        <v>865.38</v>
      </c>
      <c r="L1238" s="2">
        <v>30.44</v>
      </c>
      <c r="M1238" s="2">
        <v>2842.94</v>
      </c>
      <c r="N1238" s="2">
        <v>1977.56</v>
      </c>
      <c r="O1238" s="2">
        <v>853.38</v>
      </c>
      <c r="P1238" s="2">
        <v>30.44</v>
      </c>
    </row>
    <row r="1239" spans="1:16" x14ac:dyDescent="0.25">
      <c r="A1239" t="s">
        <v>15</v>
      </c>
      <c r="B1239" t="s">
        <v>1501</v>
      </c>
      <c r="C1239" t="s">
        <v>187</v>
      </c>
      <c r="D1239" t="s">
        <v>1613</v>
      </c>
      <c r="E1239" t="s">
        <v>19</v>
      </c>
      <c r="F1239" t="s">
        <v>191</v>
      </c>
      <c r="G1239" s="1">
        <f>45860</f>
        <v>45860</v>
      </c>
      <c r="H1239" t="s">
        <v>51</v>
      </c>
      <c r="I1239" s="2">
        <v>6180</v>
      </c>
      <c r="J1239" s="2">
        <v>4324.72</v>
      </c>
      <c r="K1239" s="2">
        <v>1855.28</v>
      </c>
      <c r="L1239" s="2">
        <v>30.02</v>
      </c>
      <c r="M1239" s="2">
        <v>6180</v>
      </c>
      <c r="N1239" s="2">
        <v>4324.72</v>
      </c>
      <c r="O1239" s="2">
        <v>1715.28</v>
      </c>
      <c r="P1239" s="2">
        <v>30.02</v>
      </c>
    </row>
    <row r="1240" spans="1:16" x14ac:dyDescent="0.25">
      <c r="A1240" t="s">
        <v>15</v>
      </c>
      <c r="B1240" t="s">
        <v>1501</v>
      </c>
      <c r="C1240" t="s">
        <v>187</v>
      </c>
      <c r="D1240" t="s">
        <v>1614</v>
      </c>
      <c r="E1240" t="s">
        <v>19</v>
      </c>
      <c r="F1240" t="s">
        <v>1615</v>
      </c>
      <c r="G1240" s="1">
        <f>45860</f>
        <v>45860</v>
      </c>
      <c r="H1240" t="s">
        <v>51</v>
      </c>
      <c r="I1240" s="2">
        <v>2303.9</v>
      </c>
      <c r="J1240" s="2">
        <v>1507.67</v>
      </c>
      <c r="K1240" s="2">
        <v>796.23</v>
      </c>
      <c r="L1240" s="2">
        <v>34.56</v>
      </c>
      <c r="M1240" s="2">
        <v>2303.9</v>
      </c>
      <c r="N1240" s="2">
        <v>1566.56</v>
      </c>
      <c r="O1240" s="2">
        <v>684.34</v>
      </c>
      <c r="P1240" s="2">
        <v>32</v>
      </c>
    </row>
    <row r="1241" spans="1:16" x14ac:dyDescent="0.25">
      <c r="A1241" t="s">
        <v>15</v>
      </c>
      <c r="B1241" t="s">
        <v>1501</v>
      </c>
      <c r="C1241" t="s">
        <v>187</v>
      </c>
      <c r="D1241" t="s">
        <v>1616</v>
      </c>
      <c r="E1241" t="s">
        <v>47</v>
      </c>
      <c r="F1241" t="s">
        <v>248</v>
      </c>
      <c r="G1241" s="1">
        <f>45861</f>
        <v>45861</v>
      </c>
      <c r="H1241" t="s">
        <v>51</v>
      </c>
      <c r="I1241" s="2">
        <v>219.13</v>
      </c>
      <c r="J1241" s="2">
        <v>145.41999999999999</v>
      </c>
      <c r="K1241" s="2">
        <v>73.709999999999994</v>
      </c>
      <c r="L1241" s="2">
        <v>33.64</v>
      </c>
      <c r="M1241" s="2">
        <v>219.13</v>
      </c>
      <c r="N1241" s="2">
        <v>145.41999999999999</v>
      </c>
      <c r="O1241" s="2">
        <v>23.71</v>
      </c>
      <c r="P1241" s="2">
        <v>33.64</v>
      </c>
    </row>
    <row r="1242" spans="1:16" x14ac:dyDescent="0.25">
      <c r="A1242" t="s">
        <v>15</v>
      </c>
      <c r="B1242" t="s">
        <v>1501</v>
      </c>
      <c r="C1242" t="s">
        <v>187</v>
      </c>
      <c r="D1242" t="s">
        <v>1617</v>
      </c>
      <c r="E1242" t="s">
        <v>19</v>
      </c>
      <c r="F1242" t="s">
        <v>219</v>
      </c>
      <c r="G1242" s="1">
        <f>45861</f>
        <v>45861</v>
      </c>
      <c r="H1242" t="s">
        <v>51</v>
      </c>
      <c r="I1242" s="2">
        <v>926.14</v>
      </c>
      <c r="J1242" s="2">
        <v>686.84</v>
      </c>
      <c r="K1242" s="2">
        <v>239.3</v>
      </c>
      <c r="L1242" s="2">
        <v>25.84</v>
      </c>
      <c r="M1242" s="2">
        <v>926.14</v>
      </c>
      <c r="N1242" s="2">
        <v>686.93</v>
      </c>
      <c r="O1242" s="2">
        <v>216.92</v>
      </c>
      <c r="P1242" s="2">
        <v>25.83</v>
      </c>
    </row>
    <row r="1243" spans="1:16" x14ac:dyDescent="0.25">
      <c r="A1243" t="s">
        <v>15</v>
      </c>
      <c r="B1243" t="s">
        <v>1501</v>
      </c>
      <c r="C1243" t="s">
        <v>187</v>
      </c>
      <c r="D1243" t="s">
        <v>1618</v>
      </c>
      <c r="E1243" t="s">
        <v>19</v>
      </c>
      <c r="F1243" t="s">
        <v>191</v>
      </c>
      <c r="G1243" s="1">
        <f>45861</f>
        <v>45861</v>
      </c>
      <c r="H1243" t="s">
        <v>51</v>
      </c>
      <c r="I1243" s="2">
        <v>183.9</v>
      </c>
      <c r="J1243" s="2">
        <v>106.67</v>
      </c>
      <c r="K1243" s="2">
        <v>77.23</v>
      </c>
      <c r="L1243" s="2">
        <v>42</v>
      </c>
      <c r="M1243" s="2">
        <v>183.9</v>
      </c>
      <c r="N1243" s="2">
        <v>109.13</v>
      </c>
      <c r="O1243" s="2">
        <v>65.77</v>
      </c>
      <c r="P1243" s="2">
        <v>40.659999999999997</v>
      </c>
    </row>
    <row r="1244" spans="1:16" x14ac:dyDescent="0.25">
      <c r="A1244" t="s">
        <v>15</v>
      </c>
      <c r="B1244" t="s">
        <v>1501</v>
      </c>
      <c r="C1244" t="s">
        <v>187</v>
      </c>
      <c r="D1244" t="s">
        <v>1619</v>
      </c>
      <c r="E1244" t="s">
        <v>19</v>
      </c>
      <c r="F1244" t="s">
        <v>213</v>
      </c>
      <c r="G1244" s="1">
        <f>45862</f>
        <v>45862</v>
      </c>
      <c r="H1244" t="s">
        <v>51</v>
      </c>
      <c r="I1244" s="2">
        <v>428</v>
      </c>
      <c r="J1244" s="2">
        <v>290.7</v>
      </c>
      <c r="K1244" s="2">
        <v>137.30000000000001</v>
      </c>
      <c r="L1244" s="2">
        <v>32.08</v>
      </c>
      <c r="M1244" s="2">
        <v>428</v>
      </c>
      <c r="N1244" s="2">
        <v>290.7</v>
      </c>
      <c r="O1244" s="2">
        <v>104.3</v>
      </c>
      <c r="P1244" s="2">
        <v>32.08</v>
      </c>
    </row>
    <row r="1245" spans="1:16" x14ac:dyDescent="0.25">
      <c r="A1245" t="s">
        <v>15</v>
      </c>
      <c r="B1245" t="s">
        <v>1501</v>
      </c>
      <c r="C1245" t="s">
        <v>187</v>
      </c>
      <c r="D1245" t="s">
        <v>1620</v>
      </c>
      <c r="E1245" t="s">
        <v>19</v>
      </c>
      <c r="F1245" t="s">
        <v>196</v>
      </c>
      <c r="G1245" s="1">
        <f>45862</f>
        <v>45862</v>
      </c>
      <c r="H1245" t="s">
        <v>51</v>
      </c>
      <c r="I1245" s="2">
        <v>1463</v>
      </c>
      <c r="J1245" s="2">
        <v>948.2</v>
      </c>
      <c r="K1245" s="2">
        <v>514.79999999999995</v>
      </c>
      <c r="L1245" s="2">
        <v>35.19</v>
      </c>
      <c r="M1245" s="2">
        <v>1463</v>
      </c>
      <c r="N1245" s="2">
        <v>948.2</v>
      </c>
      <c r="O1245" s="2">
        <v>446.6</v>
      </c>
      <c r="P1245" s="2">
        <v>35.19</v>
      </c>
    </row>
    <row r="1246" spans="1:16" x14ac:dyDescent="0.25">
      <c r="A1246" t="s">
        <v>15</v>
      </c>
      <c r="B1246" t="s">
        <v>1501</v>
      </c>
      <c r="C1246" t="s">
        <v>187</v>
      </c>
      <c r="D1246" t="s">
        <v>1621</v>
      </c>
      <c r="E1246" t="s">
        <v>19</v>
      </c>
      <c r="F1246" t="s">
        <v>219</v>
      </c>
      <c r="G1246" s="1">
        <f>45863</f>
        <v>45863</v>
      </c>
      <c r="H1246" t="s">
        <v>51</v>
      </c>
      <c r="I1246" s="2">
        <v>323.38</v>
      </c>
      <c r="J1246" s="2">
        <v>234.95</v>
      </c>
      <c r="K1246" s="2">
        <v>88.43</v>
      </c>
      <c r="L1246" s="2">
        <v>27.35</v>
      </c>
      <c r="M1246" s="2">
        <v>323.38</v>
      </c>
      <c r="N1246" s="2">
        <v>234.98</v>
      </c>
      <c r="O1246" s="2">
        <v>74.97</v>
      </c>
      <c r="P1246" s="2">
        <v>27.34</v>
      </c>
    </row>
    <row r="1247" spans="1:16" x14ac:dyDescent="0.25">
      <c r="A1247" t="s">
        <v>15</v>
      </c>
      <c r="B1247" t="s">
        <v>1501</v>
      </c>
      <c r="C1247" t="s">
        <v>187</v>
      </c>
      <c r="D1247" t="s">
        <v>1622</v>
      </c>
      <c r="E1247" t="s">
        <v>19</v>
      </c>
      <c r="F1247" t="s">
        <v>228</v>
      </c>
      <c r="G1247" s="1">
        <f>45863</f>
        <v>45863</v>
      </c>
      <c r="H1247" t="s">
        <v>51</v>
      </c>
      <c r="I1247" s="2">
        <v>583.20000000000005</v>
      </c>
      <c r="J1247" s="2">
        <v>320.39999999999998</v>
      </c>
      <c r="K1247" s="2">
        <v>262.8</v>
      </c>
      <c r="L1247" s="2">
        <v>45.06</v>
      </c>
      <c r="M1247" s="2">
        <v>583.20000000000005</v>
      </c>
      <c r="N1247" s="2">
        <v>320.39999999999998</v>
      </c>
      <c r="O1247" s="2">
        <v>207.8</v>
      </c>
      <c r="P1247" s="2">
        <v>45.06</v>
      </c>
    </row>
    <row r="1248" spans="1:16" x14ac:dyDescent="0.25">
      <c r="A1248" t="s">
        <v>15</v>
      </c>
      <c r="B1248" t="s">
        <v>1501</v>
      </c>
      <c r="C1248" t="s">
        <v>187</v>
      </c>
      <c r="D1248" t="s">
        <v>1623</v>
      </c>
      <c r="E1248" t="s">
        <v>19</v>
      </c>
      <c r="F1248" t="s">
        <v>228</v>
      </c>
      <c r="G1248" s="1">
        <f>45863</f>
        <v>45863</v>
      </c>
      <c r="H1248" t="s">
        <v>51</v>
      </c>
      <c r="I1248" s="2">
        <v>588</v>
      </c>
      <c r="J1248" s="2">
        <v>277.8</v>
      </c>
      <c r="K1248" s="2">
        <v>310.2</v>
      </c>
      <c r="L1248" s="2">
        <v>52.76</v>
      </c>
      <c r="M1248" s="2">
        <v>588</v>
      </c>
      <c r="N1248" s="2">
        <v>277.8</v>
      </c>
      <c r="O1248" s="2">
        <v>271.39999999999998</v>
      </c>
      <c r="P1248" s="2">
        <v>52.76</v>
      </c>
    </row>
    <row r="1249" spans="1:16" x14ac:dyDescent="0.25">
      <c r="A1249" t="s">
        <v>15</v>
      </c>
      <c r="B1249" t="s">
        <v>1501</v>
      </c>
      <c r="C1249" t="s">
        <v>187</v>
      </c>
      <c r="D1249" t="s">
        <v>1624</v>
      </c>
      <c r="E1249" t="s">
        <v>19</v>
      </c>
      <c r="F1249" t="s">
        <v>248</v>
      </c>
      <c r="G1249" s="1">
        <f>45867</f>
        <v>45867</v>
      </c>
      <c r="H1249" t="s">
        <v>51</v>
      </c>
      <c r="I1249" s="2">
        <v>803.05</v>
      </c>
      <c r="J1249" s="2">
        <v>439.8</v>
      </c>
      <c r="K1249" s="2">
        <v>363.25</v>
      </c>
      <c r="L1249" s="2">
        <v>45.23</v>
      </c>
      <c r="M1249" s="2">
        <v>803.05</v>
      </c>
      <c r="N1249" s="2">
        <v>439.8</v>
      </c>
      <c r="O1249" s="2">
        <v>338.25</v>
      </c>
      <c r="P1249" s="2">
        <v>45.23</v>
      </c>
    </row>
    <row r="1250" spans="1:16" x14ac:dyDescent="0.25">
      <c r="A1250" t="s">
        <v>15</v>
      </c>
      <c r="B1250" t="s">
        <v>1501</v>
      </c>
      <c r="C1250" t="s">
        <v>187</v>
      </c>
      <c r="D1250" t="s">
        <v>1625</v>
      </c>
      <c r="E1250" t="s">
        <v>19</v>
      </c>
      <c r="F1250" t="s">
        <v>193</v>
      </c>
      <c r="G1250" s="1">
        <f>45867</f>
        <v>45867</v>
      </c>
      <c r="H1250" t="s">
        <v>51</v>
      </c>
      <c r="I1250" s="2">
        <v>527.29999999999995</v>
      </c>
      <c r="J1250" s="2">
        <v>266.54000000000002</v>
      </c>
      <c r="K1250" s="2">
        <v>260.76</v>
      </c>
      <c r="L1250" s="2">
        <v>49.45</v>
      </c>
      <c r="M1250" s="2">
        <v>527.29999999999995</v>
      </c>
      <c r="N1250" s="2">
        <v>266.54000000000002</v>
      </c>
      <c r="O1250" s="2">
        <v>209.26</v>
      </c>
      <c r="P1250" s="2">
        <v>49.45</v>
      </c>
    </row>
    <row r="1251" spans="1:16" x14ac:dyDescent="0.25">
      <c r="A1251" t="s">
        <v>15</v>
      </c>
      <c r="B1251" t="s">
        <v>1501</v>
      </c>
      <c r="C1251" t="s">
        <v>187</v>
      </c>
      <c r="D1251" t="s">
        <v>1626</v>
      </c>
      <c r="E1251" t="s">
        <v>19</v>
      </c>
      <c r="F1251" t="s">
        <v>224</v>
      </c>
      <c r="G1251" s="1">
        <f>45868</f>
        <v>45868</v>
      </c>
      <c r="H1251" t="s">
        <v>51</v>
      </c>
      <c r="I1251" s="2">
        <v>315.95</v>
      </c>
      <c r="J1251" s="2">
        <v>181.66</v>
      </c>
      <c r="K1251" s="2">
        <v>134.29</v>
      </c>
      <c r="L1251" s="2">
        <v>42.5</v>
      </c>
      <c r="M1251" s="2">
        <v>315.95</v>
      </c>
      <c r="N1251" s="2">
        <v>181.66</v>
      </c>
      <c r="O1251" s="2">
        <v>125.29</v>
      </c>
      <c r="P1251" s="2">
        <v>42.5</v>
      </c>
    </row>
    <row r="1252" spans="1:16" x14ac:dyDescent="0.25">
      <c r="A1252" t="s">
        <v>15</v>
      </c>
      <c r="B1252" t="s">
        <v>1501</v>
      </c>
      <c r="C1252" t="s">
        <v>187</v>
      </c>
      <c r="D1252" t="s">
        <v>1627</v>
      </c>
      <c r="E1252" t="s">
        <v>19</v>
      </c>
      <c r="F1252" t="s">
        <v>191</v>
      </c>
      <c r="G1252" s="1">
        <f>45869</f>
        <v>45869</v>
      </c>
      <c r="H1252" t="s">
        <v>51</v>
      </c>
      <c r="I1252" s="2">
        <v>1319.3</v>
      </c>
      <c r="J1252" s="2">
        <v>896</v>
      </c>
      <c r="K1252" s="2">
        <v>423.3</v>
      </c>
      <c r="L1252" s="2">
        <v>32.090000000000003</v>
      </c>
      <c r="M1252" s="2">
        <v>1319.3</v>
      </c>
      <c r="N1252" s="2">
        <v>896</v>
      </c>
      <c r="O1252" s="2">
        <v>379.3</v>
      </c>
      <c r="P1252" s="2">
        <v>32.090000000000003</v>
      </c>
    </row>
    <row r="1253" spans="1:16" x14ac:dyDescent="0.25">
      <c r="A1253" t="s">
        <v>15</v>
      </c>
      <c r="B1253" t="s">
        <v>1501</v>
      </c>
      <c r="C1253" t="s">
        <v>187</v>
      </c>
      <c r="D1253" t="s">
        <v>1628</v>
      </c>
      <c r="E1253" t="s">
        <v>19</v>
      </c>
      <c r="F1253" t="s">
        <v>191</v>
      </c>
      <c r="G1253" s="1">
        <f>45869</f>
        <v>45869</v>
      </c>
      <c r="H1253" t="s">
        <v>51</v>
      </c>
      <c r="I1253" s="2">
        <v>1122.7</v>
      </c>
      <c r="J1253" s="2">
        <v>803.46</v>
      </c>
      <c r="K1253" s="2">
        <v>319.24</v>
      </c>
      <c r="L1253" s="2">
        <v>28.44</v>
      </c>
      <c r="M1253" s="2">
        <v>1122.7</v>
      </c>
      <c r="N1253" s="2">
        <v>803.46</v>
      </c>
      <c r="O1253" s="2">
        <v>279.24</v>
      </c>
      <c r="P1253" s="2">
        <v>28.44</v>
      </c>
    </row>
    <row r="1254" spans="1:16" x14ac:dyDescent="0.25">
      <c r="A1254" t="s">
        <v>15</v>
      </c>
      <c r="B1254" t="s">
        <v>1501</v>
      </c>
      <c r="C1254" t="s">
        <v>187</v>
      </c>
      <c r="D1254" t="s">
        <v>1629</v>
      </c>
      <c r="E1254" t="s">
        <v>19</v>
      </c>
      <c r="F1254" t="s">
        <v>191</v>
      </c>
      <c r="G1254" s="1">
        <f>45869</f>
        <v>45869</v>
      </c>
      <c r="H1254" t="s">
        <v>51</v>
      </c>
      <c r="I1254" s="2">
        <v>3157.5</v>
      </c>
      <c r="J1254" s="2">
        <v>2207.6</v>
      </c>
      <c r="K1254" s="2">
        <v>949.9</v>
      </c>
      <c r="L1254" s="2">
        <v>30.08</v>
      </c>
      <c r="M1254" s="2">
        <v>3157.5</v>
      </c>
      <c r="N1254" s="2">
        <v>2207.6</v>
      </c>
      <c r="O1254" s="2">
        <v>544.9</v>
      </c>
      <c r="P1254" s="2">
        <v>30.08</v>
      </c>
    </row>
    <row r="1255" spans="1:16" x14ac:dyDescent="0.25">
      <c r="A1255" t="s">
        <v>15</v>
      </c>
      <c r="B1255" t="s">
        <v>1501</v>
      </c>
      <c r="C1255" t="s">
        <v>187</v>
      </c>
      <c r="D1255" t="s">
        <v>1630</v>
      </c>
      <c r="E1255" t="s">
        <v>19</v>
      </c>
      <c r="F1255" t="s">
        <v>189</v>
      </c>
      <c r="G1255" s="1">
        <f>45869</f>
        <v>45869</v>
      </c>
      <c r="H1255" t="s">
        <v>51</v>
      </c>
      <c r="I1255" s="2">
        <v>497.17</v>
      </c>
      <c r="J1255" s="2">
        <v>330.55</v>
      </c>
      <c r="K1255" s="2">
        <v>166.62</v>
      </c>
      <c r="L1255" s="2">
        <v>33.51</v>
      </c>
      <c r="M1255" s="2">
        <v>497.17</v>
      </c>
      <c r="N1255" s="2">
        <v>324.70999999999998</v>
      </c>
      <c r="O1255" s="2">
        <v>163.46</v>
      </c>
      <c r="P1255" s="2">
        <v>34.69</v>
      </c>
    </row>
    <row r="1256" spans="1:16" x14ac:dyDescent="0.25">
      <c r="A1256" t="s">
        <v>15</v>
      </c>
      <c r="B1256" t="s">
        <v>1501</v>
      </c>
      <c r="C1256" t="s">
        <v>187</v>
      </c>
      <c r="D1256" t="s">
        <v>1631</v>
      </c>
      <c r="E1256" t="s">
        <v>47</v>
      </c>
      <c r="F1256" t="s">
        <v>215</v>
      </c>
      <c r="G1256" s="1">
        <f>45841</f>
        <v>45841</v>
      </c>
      <c r="H1256" t="s">
        <v>2422</v>
      </c>
      <c r="I1256" s="2">
        <v>1830</v>
      </c>
      <c r="J1256" s="2">
        <v>1131.5</v>
      </c>
      <c r="K1256" s="2">
        <v>698.5</v>
      </c>
      <c r="L1256" s="2">
        <v>38.17</v>
      </c>
      <c r="M1256" s="2">
        <v>1830</v>
      </c>
      <c r="N1256" s="2">
        <v>1131.5</v>
      </c>
      <c r="O1256" s="2">
        <v>643.5</v>
      </c>
      <c r="P1256" s="2">
        <v>38.17</v>
      </c>
    </row>
    <row r="1257" spans="1:16" x14ac:dyDescent="0.25">
      <c r="A1257" t="s">
        <v>15</v>
      </c>
      <c r="B1257" t="s">
        <v>1501</v>
      </c>
      <c r="C1257" t="s">
        <v>187</v>
      </c>
      <c r="D1257" t="s">
        <v>1632</v>
      </c>
      <c r="E1257" t="s">
        <v>19</v>
      </c>
      <c r="F1257" t="s">
        <v>248</v>
      </c>
      <c r="G1257" s="1">
        <f>45862</f>
        <v>45862</v>
      </c>
      <c r="H1257" t="s">
        <v>51</v>
      </c>
      <c r="I1257" s="2">
        <v>4186.84</v>
      </c>
      <c r="J1257" s="2">
        <v>2769.26</v>
      </c>
      <c r="K1257" s="2">
        <v>1417.58</v>
      </c>
      <c r="L1257" s="2">
        <v>33.86</v>
      </c>
      <c r="M1257" s="2">
        <v>4186.84</v>
      </c>
      <c r="N1257" s="2">
        <v>2613.2600000000002</v>
      </c>
      <c r="O1257" s="2">
        <v>1410.43</v>
      </c>
      <c r="P1257" s="2">
        <v>37.58</v>
      </c>
    </row>
    <row r="1258" spans="1:16" x14ac:dyDescent="0.25">
      <c r="A1258" t="s">
        <v>15</v>
      </c>
      <c r="B1258" t="s">
        <v>1501</v>
      </c>
      <c r="C1258" t="s">
        <v>187</v>
      </c>
      <c r="D1258" t="s">
        <v>1633</v>
      </c>
      <c r="E1258" t="s">
        <v>19</v>
      </c>
      <c r="F1258" t="s">
        <v>248</v>
      </c>
      <c r="G1258" s="1">
        <f>45863</f>
        <v>45863</v>
      </c>
      <c r="H1258" t="s">
        <v>51</v>
      </c>
      <c r="I1258" s="2">
        <v>4157.1000000000004</v>
      </c>
      <c r="J1258" s="2">
        <v>2863.32</v>
      </c>
      <c r="K1258" s="2">
        <v>1293.78</v>
      </c>
      <c r="L1258" s="2">
        <v>31.12</v>
      </c>
      <c r="M1258" s="2">
        <v>4157.1000000000004</v>
      </c>
      <c r="N1258" s="2">
        <v>2707.32</v>
      </c>
      <c r="O1258" s="2">
        <v>1308.6300000000001</v>
      </c>
      <c r="P1258" s="2">
        <v>34.869999999999997</v>
      </c>
    </row>
    <row r="1259" spans="1:16" x14ac:dyDescent="0.25">
      <c r="A1259" t="s">
        <v>15</v>
      </c>
      <c r="B1259" t="s">
        <v>1501</v>
      </c>
      <c r="C1259" t="s">
        <v>252</v>
      </c>
      <c r="D1259" t="s">
        <v>1634</v>
      </c>
      <c r="E1259" t="s">
        <v>47</v>
      </c>
      <c r="F1259" t="s">
        <v>1635</v>
      </c>
      <c r="G1259" s="1">
        <f>45856</f>
        <v>45856</v>
      </c>
      <c r="H1259" t="s">
        <v>2422</v>
      </c>
      <c r="I1259" s="2">
        <v>32475</v>
      </c>
      <c r="J1259" s="2">
        <v>23297.65</v>
      </c>
      <c r="K1259" s="2">
        <v>9177.35</v>
      </c>
      <c r="L1259" s="2">
        <v>28.26</v>
      </c>
      <c r="M1259" s="2">
        <v>32475</v>
      </c>
      <c r="N1259" s="2">
        <v>23190.01</v>
      </c>
      <c r="O1259" s="2">
        <v>3467.19</v>
      </c>
      <c r="P1259" s="2">
        <v>28.59</v>
      </c>
    </row>
    <row r="1260" spans="1:16" x14ac:dyDescent="0.25">
      <c r="A1260" t="s">
        <v>15</v>
      </c>
      <c r="B1260" t="s">
        <v>1501</v>
      </c>
      <c r="C1260" t="s">
        <v>252</v>
      </c>
      <c r="D1260" t="s">
        <v>1636</v>
      </c>
      <c r="E1260" t="s">
        <v>47</v>
      </c>
      <c r="F1260" t="s">
        <v>1057</v>
      </c>
      <c r="G1260" s="1">
        <f>45839</f>
        <v>45839</v>
      </c>
      <c r="H1260" t="s">
        <v>2422</v>
      </c>
      <c r="I1260" s="2">
        <v>1000</v>
      </c>
      <c r="J1260" s="2">
        <v>638.09</v>
      </c>
      <c r="K1260" s="2">
        <v>361.91</v>
      </c>
      <c r="L1260" s="2">
        <v>36.19</v>
      </c>
      <c r="M1260" s="2">
        <v>1000</v>
      </c>
      <c r="N1260" s="2">
        <v>638.14</v>
      </c>
      <c r="O1260" s="2">
        <v>356.17</v>
      </c>
      <c r="P1260" s="2">
        <v>36.19</v>
      </c>
    </row>
    <row r="1261" spans="1:16" x14ac:dyDescent="0.25">
      <c r="A1261" t="s">
        <v>15</v>
      </c>
      <c r="B1261" t="s">
        <v>1501</v>
      </c>
      <c r="C1261" t="s">
        <v>252</v>
      </c>
      <c r="D1261" t="s">
        <v>1637</v>
      </c>
      <c r="E1261" t="s">
        <v>19</v>
      </c>
      <c r="F1261" t="s">
        <v>279</v>
      </c>
      <c r="G1261" s="1">
        <f>45839</f>
        <v>45839</v>
      </c>
      <c r="H1261" t="s">
        <v>2422</v>
      </c>
      <c r="I1261" s="2">
        <v>415</v>
      </c>
      <c r="J1261" s="2">
        <v>281.39999999999998</v>
      </c>
      <c r="K1261" s="2">
        <v>133.6</v>
      </c>
      <c r="L1261" s="2">
        <v>32.19</v>
      </c>
      <c r="M1261" s="2">
        <v>415</v>
      </c>
      <c r="N1261" s="2">
        <v>281.39999999999998</v>
      </c>
      <c r="O1261" s="2">
        <v>89.6</v>
      </c>
      <c r="P1261" s="2">
        <v>32.19</v>
      </c>
    </row>
    <row r="1262" spans="1:16" x14ac:dyDescent="0.25">
      <c r="A1262" t="s">
        <v>15</v>
      </c>
      <c r="B1262" t="s">
        <v>1501</v>
      </c>
      <c r="C1262" t="s">
        <v>252</v>
      </c>
      <c r="D1262" t="s">
        <v>1638</v>
      </c>
      <c r="E1262" t="s">
        <v>47</v>
      </c>
      <c r="F1262" t="s">
        <v>841</v>
      </c>
      <c r="G1262" s="1">
        <f>45840</f>
        <v>45840</v>
      </c>
      <c r="H1262" t="s">
        <v>2422</v>
      </c>
      <c r="I1262" s="2">
        <v>476.6</v>
      </c>
      <c r="J1262" s="2">
        <v>293.04000000000002</v>
      </c>
      <c r="K1262" s="2">
        <v>183.56</v>
      </c>
      <c r="L1262" s="2">
        <v>38.51</v>
      </c>
      <c r="M1262" s="2">
        <v>476.6</v>
      </c>
      <c r="N1262" s="2">
        <v>293.02999999999997</v>
      </c>
      <c r="O1262" s="2">
        <v>155.57</v>
      </c>
      <c r="P1262" s="2">
        <v>38.520000000000003</v>
      </c>
    </row>
    <row r="1263" spans="1:16" x14ac:dyDescent="0.25">
      <c r="A1263" t="s">
        <v>15</v>
      </c>
      <c r="B1263" t="s">
        <v>1501</v>
      </c>
      <c r="C1263" t="s">
        <v>252</v>
      </c>
      <c r="D1263" t="s">
        <v>1639</v>
      </c>
      <c r="E1263" t="s">
        <v>47</v>
      </c>
      <c r="F1263" t="s">
        <v>256</v>
      </c>
      <c r="G1263" s="1">
        <f>45840</f>
        <v>45840</v>
      </c>
      <c r="H1263" t="s">
        <v>2422</v>
      </c>
      <c r="I1263" s="2">
        <v>1192</v>
      </c>
      <c r="J1263" s="2">
        <v>770.96</v>
      </c>
      <c r="K1263" s="2">
        <v>421.04</v>
      </c>
      <c r="L1263" s="2">
        <v>35.32</v>
      </c>
      <c r="M1263" s="2">
        <v>1192</v>
      </c>
      <c r="N1263" s="2">
        <v>770.96</v>
      </c>
      <c r="O1263" s="2">
        <v>414.16</v>
      </c>
      <c r="P1263" s="2">
        <v>35.32</v>
      </c>
    </row>
    <row r="1264" spans="1:16" x14ac:dyDescent="0.25">
      <c r="A1264" t="s">
        <v>15</v>
      </c>
      <c r="B1264" t="s">
        <v>1501</v>
      </c>
      <c r="C1264" t="s">
        <v>252</v>
      </c>
      <c r="D1264" t="s">
        <v>1640</v>
      </c>
      <c r="E1264" t="s">
        <v>47</v>
      </c>
      <c r="F1264" t="s">
        <v>303</v>
      </c>
      <c r="G1264" s="1">
        <f>45842</f>
        <v>45842</v>
      </c>
      <c r="H1264" t="s">
        <v>2422</v>
      </c>
      <c r="I1264" s="2">
        <v>1270.8</v>
      </c>
      <c r="J1264" s="2">
        <v>841.31</v>
      </c>
      <c r="K1264" s="2">
        <v>429.49</v>
      </c>
      <c r="L1264" s="2">
        <v>33.799999999999997</v>
      </c>
      <c r="M1264" s="2">
        <v>1270.8</v>
      </c>
      <c r="N1264" s="2">
        <v>837.56</v>
      </c>
      <c r="O1264" s="2">
        <v>384.24</v>
      </c>
      <c r="P1264" s="2">
        <v>34.090000000000003</v>
      </c>
    </row>
    <row r="1265" spans="1:16" x14ac:dyDescent="0.25">
      <c r="A1265" t="s">
        <v>15</v>
      </c>
      <c r="B1265" t="s">
        <v>1501</v>
      </c>
      <c r="C1265" t="s">
        <v>252</v>
      </c>
      <c r="D1265" t="s">
        <v>1641</v>
      </c>
      <c r="E1265" t="s">
        <v>47</v>
      </c>
      <c r="F1265" t="s">
        <v>301</v>
      </c>
      <c r="G1265" s="1">
        <f>45842</f>
        <v>45842</v>
      </c>
      <c r="H1265" t="s">
        <v>2422</v>
      </c>
      <c r="I1265" s="2">
        <v>674.2</v>
      </c>
      <c r="J1265" s="2">
        <v>453.61</v>
      </c>
      <c r="K1265" s="2">
        <v>220.59</v>
      </c>
      <c r="L1265" s="2">
        <v>32.72</v>
      </c>
      <c r="M1265" s="2">
        <v>674.2</v>
      </c>
      <c r="N1265" s="2">
        <v>453.61</v>
      </c>
      <c r="O1265" s="2">
        <v>151.59</v>
      </c>
      <c r="P1265" s="2">
        <v>32.72</v>
      </c>
    </row>
    <row r="1266" spans="1:16" x14ac:dyDescent="0.25">
      <c r="A1266" t="s">
        <v>15</v>
      </c>
      <c r="B1266" t="s">
        <v>1501</v>
      </c>
      <c r="C1266" t="s">
        <v>252</v>
      </c>
      <c r="D1266" t="s">
        <v>1642</v>
      </c>
      <c r="E1266" t="s">
        <v>47</v>
      </c>
      <c r="F1266" t="s">
        <v>1643</v>
      </c>
      <c r="G1266" s="1">
        <f>45842</f>
        <v>45842</v>
      </c>
      <c r="H1266" t="s">
        <v>2422</v>
      </c>
      <c r="I1266" s="2">
        <v>3026</v>
      </c>
      <c r="J1266" s="2">
        <v>2106</v>
      </c>
      <c r="K1266" s="2">
        <v>920</v>
      </c>
      <c r="L1266" s="2">
        <v>30.4</v>
      </c>
      <c r="M1266" s="2">
        <v>3026</v>
      </c>
      <c r="N1266" s="2">
        <v>2106</v>
      </c>
      <c r="O1266" s="2">
        <v>884</v>
      </c>
      <c r="P1266" s="2">
        <v>30.4</v>
      </c>
    </row>
    <row r="1267" spans="1:16" x14ac:dyDescent="0.25">
      <c r="A1267" t="s">
        <v>15</v>
      </c>
      <c r="B1267" t="s">
        <v>1501</v>
      </c>
      <c r="C1267" t="s">
        <v>252</v>
      </c>
      <c r="D1267" t="s">
        <v>1644</v>
      </c>
      <c r="E1267" t="s">
        <v>47</v>
      </c>
      <c r="F1267" t="s">
        <v>299</v>
      </c>
      <c r="G1267" s="1">
        <f>45845</f>
        <v>45845</v>
      </c>
      <c r="H1267" t="s">
        <v>2422</v>
      </c>
      <c r="I1267" s="2">
        <v>1704.3</v>
      </c>
      <c r="J1267" s="2">
        <v>1208.4000000000001</v>
      </c>
      <c r="K1267" s="2">
        <v>495.9</v>
      </c>
      <c r="L1267" s="2">
        <v>29.1</v>
      </c>
      <c r="M1267" s="2">
        <v>1704.3</v>
      </c>
      <c r="N1267" s="2">
        <v>1208.4000000000001</v>
      </c>
      <c r="O1267" s="2">
        <v>453.9</v>
      </c>
      <c r="P1267" s="2">
        <v>29.1</v>
      </c>
    </row>
    <row r="1268" spans="1:16" x14ac:dyDescent="0.25">
      <c r="A1268" t="s">
        <v>15</v>
      </c>
      <c r="B1268" t="s">
        <v>1501</v>
      </c>
      <c r="C1268" t="s">
        <v>252</v>
      </c>
      <c r="D1268" t="s">
        <v>1645</v>
      </c>
      <c r="E1268" t="s">
        <v>47</v>
      </c>
      <c r="F1268" t="s">
        <v>1429</v>
      </c>
      <c r="G1268" s="1">
        <f>45845</f>
        <v>45845</v>
      </c>
      <c r="H1268" t="s">
        <v>2422</v>
      </c>
      <c r="I1268" s="2">
        <v>4119.2</v>
      </c>
      <c r="J1268" s="2">
        <v>2920.48</v>
      </c>
      <c r="K1268" s="2">
        <v>1198.72</v>
      </c>
      <c r="L1268" s="2">
        <v>29.1</v>
      </c>
      <c r="M1268" s="2">
        <v>4119.2</v>
      </c>
      <c r="N1268" s="2">
        <v>2920.48</v>
      </c>
      <c r="O1268" s="2">
        <v>1153.72</v>
      </c>
      <c r="P1268" s="2">
        <v>29.1</v>
      </c>
    </row>
    <row r="1269" spans="1:16" x14ac:dyDescent="0.25">
      <c r="A1269" t="s">
        <v>15</v>
      </c>
      <c r="B1269" t="s">
        <v>1501</v>
      </c>
      <c r="C1269" t="s">
        <v>252</v>
      </c>
      <c r="D1269" t="s">
        <v>1646</v>
      </c>
      <c r="E1269" t="s">
        <v>47</v>
      </c>
      <c r="F1269" t="s">
        <v>254</v>
      </c>
      <c r="G1269" s="1">
        <f>45846</f>
        <v>45846</v>
      </c>
      <c r="H1269" t="s">
        <v>2422</v>
      </c>
      <c r="I1269" s="2">
        <v>267.7</v>
      </c>
      <c r="J1269" s="2">
        <v>174.93</v>
      </c>
      <c r="K1269" s="2">
        <v>92.77</v>
      </c>
      <c r="L1269" s="2">
        <v>34.65</v>
      </c>
      <c r="M1269" s="2">
        <v>267.7</v>
      </c>
      <c r="N1269" s="2">
        <v>174.91</v>
      </c>
      <c r="O1269" s="2">
        <v>81.790000000000006</v>
      </c>
      <c r="P1269" s="2">
        <v>34.659999999999997</v>
      </c>
    </row>
    <row r="1270" spans="1:16" x14ac:dyDescent="0.25">
      <c r="A1270" t="s">
        <v>15</v>
      </c>
      <c r="B1270" t="s">
        <v>1501</v>
      </c>
      <c r="C1270" t="s">
        <v>252</v>
      </c>
      <c r="D1270" t="s">
        <v>1647</v>
      </c>
      <c r="E1270" t="s">
        <v>47</v>
      </c>
      <c r="F1270" t="s">
        <v>269</v>
      </c>
      <c r="G1270" s="1">
        <f>45847</f>
        <v>45847</v>
      </c>
      <c r="H1270" t="s">
        <v>2422</v>
      </c>
      <c r="I1270" s="2">
        <v>604.9</v>
      </c>
      <c r="J1270" s="2">
        <v>346.83</v>
      </c>
      <c r="K1270" s="2">
        <v>258.07</v>
      </c>
      <c r="L1270" s="2">
        <v>42.66</v>
      </c>
      <c r="M1270" s="2">
        <v>604.9</v>
      </c>
      <c r="N1270" s="2">
        <v>346.83</v>
      </c>
      <c r="O1270" s="2">
        <v>221.07</v>
      </c>
      <c r="P1270" s="2">
        <v>42.66</v>
      </c>
    </row>
    <row r="1271" spans="1:16" x14ac:dyDescent="0.25">
      <c r="A1271" t="s">
        <v>15</v>
      </c>
      <c r="B1271" t="s">
        <v>1501</v>
      </c>
      <c r="C1271" t="s">
        <v>252</v>
      </c>
      <c r="D1271" t="s">
        <v>1648</v>
      </c>
      <c r="E1271" t="s">
        <v>47</v>
      </c>
      <c r="F1271" t="s">
        <v>272</v>
      </c>
      <c r="G1271" s="1">
        <f>45848</f>
        <v>45848</v>
      </c>
      <c r="H1271" t="s">
        <v>2422</v>
      </c>
      <c r="I1271" s="2">
        <v>264.63</v>
      </c>
      <c r="J1271" s="2">
        <v>188.65</v>
      </c>
      <c r="K1271" s="2">
        <v>75.98</v>
      </c>
      <c r="L1271" s="2">
        <v>28.71</v>
      </c>
      <c r="M1271" s="2">
        <v>264.63</v>
      </c>
      <c r="N1271" s="2">
        <v>188.65</v>
      </c>
      <c r="O1271" s="2">
        <v>75.98</v>
      </c>
      <c r="P1271" s="2">
        <v>28.71</v>
      </c>
    </row>
    <row r="1272" spans="1:16" x14ac:dyDescent="0.25">
      <c r="A1272" t="s">
        <v>15</v>
      </c>
      <c r="B1272" t="s">
        <v>1501</v>
      </c>
      <c r="C1272" t="s">
        <v>252</v>
      </c>
      <c r="D1272" t="s">
        <v>1649</v>
      </c>
      <c r="E1272" t="s">
        <v>47</v>
      </c>
      <c r="F1272" t="s">
        <v>1650</v>
      </c>
      <c r="G1272" s="1">
        <f>45853</f>
        <v>45853</v>
      </c>
      <c r="H1272" t="s">
        <v>2422</v>
      </c>
      <c r="I1272" s="2">
        <v>686.6</v>
      </c>
      <c r="J1272" s="2">
        <v>467.79</v>
      </c>
      <c r="K1272" s="2">
        <v>218.81</v>
      </c>
      <c r="L1272" s="2">
        <v>31.87</v>
      </c>
      <c r="M1272" s="2">
        <v>686.6</v>
      </c>
      <c r="N1272" s="2">
        <v>467.79</v>
      </c>
      <c r="O1272" s="2">
        <v>205.72</v>
      </c>
      <c r="P1272" s="2">
        <v>31.87</v>
      </c>
    </row>
    <row r="1273" spans="1:16" x14ac:dyDescent="0.25">
      <c r="A1273" t="s">
        <v>15</v>
      </c>
      <c r="B1273" t="s">
        <v>1501</v>
      </c>
      <c r="C1273" t="s">
        <v>252</v>
      </c>
      <c r="D1273" t="s">
        <v>1651</v>
      </c>
      <c r="E1273" t="s">
        <v>47</v>
      </c>
      <c r="F1273" t="s">
        <v>301</v>
      </c>
      <c r="G1273" s="1">
        <f>45854</f>
        <v>45854</v>
      </c>
      <c r="H1273" t="s">
        <v>2422</v>
      </c>
      <c r="I1273" s="2">
        <v>1037.3</v>
      </c>
      <c r="J1273" s="2">
        <v>610</v>
      </c>
      <c r="K1273" s="2">
        <v>427.3</v>
      </c>
      <c r="L1273" s="2">
        <v>41.19</v>
      </c>
      <c r="M1273" s="2">
        <v>1037.3</v>
      </c>
      <c r="N1273" s="2">
        <v>610</v>
      </c>
      <c r="O1273" s="2">
        <v>367.3</v>
      </c>
      <c r="P1273" s="2">
        <v>41.19</v>
      </c>
    </row>
    <row r="1274" spans="1:16" x14ac:dyDescent="0.25">
      <c r="A1274" t="s">
        <v>15</v>
      </c>
      <c r="B1274" t="s">
        <v>1501</v>
      </c>
      <c r="C1274" t="s">
        <v>252</v>
      </c>
      <c r="D1274" t="s">
        <v>1652</v>
      </c>
      <c r="E1274" t="s">
        <v>47</v>
      </c>
      <c r="F1274" t="s">
        <v>1653</v>
      </c>
      <c r="G1274" s="1">
        <f>45855</f>
        <v>45855</v>
      </c>
      <c r="H1274" t="s">
        <v>2422</v>
      </c>
      <c r="I1274" s="2">
        <v>1912.2</v>
      </c>
      <c r="J1274" s="2">
        <v>1307.08</v>
      </c>
      <c r="K1274" s="2">
        <v>605.12</v>
      </c>
      <c r="L1274" s="2">
        <v>31.65</v>
      </c>
      <c r="M1274" s="2">
        <v>1912.2</v>
      </c>
      <c r="N1274" s="2">
        <v>1307.08</v>
      </c>
      <c r="O1274" s="2">
        <v>593.46</v>
      </c>
      <c r="P1274" s="2">
        <v>31.65</v>
      </c>
    </row>
    <row r="1275" spans="1:16" x14ac:dyDescent="0.25">
      <c r="A1275" t="s">
        <v>15</v>
      </c>
      <c r="B1275" t="s">
        <v>1501</v>
      </c>
      <c r="C1275" t="s">
        <v>252</v>
      </c>
      <c r="D1275" t="s">
        <v>1654</v>
      </c>
      <c r="E1275" t="s">
        <v>47</v>
      </c>
      <c r="F1275" t="s">
        <v>272</v>
      </c>
      <c r="G1275" s="1">
        <f>45856</f>
        <v>45856</v>
      </c>
      <c r="H1275" t="s">
        <v>2422</v>
      </c>
      <c r="I1275" s="2">
        <v>179.9</v>
      </c>
      <c r="J1275" s="2">
        <v>103.73</v>
      </c>
      <c r="K1275" s="2">
        <v>76.17</v>
      </c>
      <c r="L1275" s="2">
        <v>42.34</v>
      </c>
      <c r="M1275" s="2">
        <v>179.9</v>
      </c>
      <c r="N1275" s="2">
        <v>103.73</v>
      </c>
      <c r="O1275" s="2">
        <v>42.17</v>
      </c>
      <c r="P1275" s="2">
        <v>42.34</v>
      </c>
    </row>
    <row r="1276" spans="1:16" x14ac:dyDescent="0.25">
      <c r="A1276" t="s">
        <v>15</v>
      </c>
      <c r="B1276" t="s">
        <v>1501</v>
      </c>
      <c r="C1276" t="s">
        <v>252</v>
      </c>
      <c r="D1276" t="s">
        <v>1655</v>
      </c>
      <c r="E1276" t="s">
        <v>47</v>
      </c>
      <c r="F1276" t="s">
        <v>587</v>
      </c>
      <c r="G1276" s="1">
        <f>45861</f>
        <v>45861</v>
      </c>
      <c r="H1276" t="s">
        <v>2422</v>
      </c>
      <c r="I1276" s="2">
        <v>3674.9</v>
      </c>
      <c r="J1276" s="2">
        <v>2492.46</v>
      </c>
      <c r="K1276" s="2">
        <v>1182.44</v>
      </c>
      <c r="L1276" s="2">
        <v>32.18</v>
      </c>
      <c r="M1276" s="2">
        <v>3674.9</v>
      </c>
      <c r="N1276" s="2">
        <v>2492.46</v>
      </c>
      <c r="O1276" s="2">
        <v>1140.44</v>
      </c>
      <c r="P1276" s="2">
        <v>32.18</v>
      </c>
    </row>
    <row r="1277" spans="1:16" x14ac:dyDescent="0.25">
      <c r="A1277" t="s">
        <v>15</v>
      </c>
      <c r="B1277" t="s">
        <v>1501</v>
      </c>
      <c r="C1277" t="s">
        <v>252</v>
      </c>
      <c r="D1277" t="s">
        <v>1656</v>
      </c>
      <c r="E1277" t="s">
        <v>47</v>
      </c>
      <c r="F1277" t="s">
        <v>265</v>
      </c>
      <c r="G1277" s="1">
        <f>45867</f>
        <v>45867</v>
      </c>
      <c r="H1277" t="s">
        <v>2422</v>
      </c>
      <c r="I1277" s="2">
        <v>164</v>
      </c>
      <c r="J1277" s="2">
        <v>111.4</v>
      </c>
      <c r="K1277" s="2">
        <v>52.6</v>
      </c>
      <c r="L1277" s="2">
        <v>32.07</v>
      </c>
      <c r="M1277" s="2">
        <v>164</v>
      </c>
      <c r="N1277" s="2">
        <v>111.4</v>
      </c>
      <c r="O1277" s="2">
        <v>17.600000000000001</v>
      </c>
      <c r="P1277" s="2">
        <v>32.07</v>
      </c>
    </row>
    <row r="1278" spans="1:16" x14ac:dyDescent="0.25">
      <c r="A1278" t="s">
        <v>15</v>
      </c>
      <c r="B1278" t="s">
        <v>1501</v>
      </c>
      <c r="C1278" t="s">
        <v>252</v>
      </c>
      <c r="D1278" t="s">
        <v>1657</v>
      </c>
      <c r="E1278" t="s">
        <v>19</v>
      </c>
      <c r="F1278" t="s">
        <v>281</v>
      </c>
      <c r="G1278" s="1">
        <f>45869</f>
        <v>45869</v>
      </c>
      <c r="H1278" t="s">
        <v>2422</v>
      </c>
      <c r="I1278" s="2">
        <v>1470.2</v>
      </c>
      <c r="J1278" s="2">
        <v>1010.42</v>
      </c>
      <c r="K1278" s="2">
        <v>459.78</v>
      </c>
      <c r="L1278" s="2">
        <v>31.27</v>
      </c>
      <c r="M1278" s="2">
        <v>1470.2</v>
      </c>
      <c r="N1278" s="2">
        <v>1010.42</v>
      </c>
      <c r="O1278" s="2">
        <v>352.78</v>
      </c>
      <c r="P1278" s="2">
        <v>31.27</v>
      </c>
    </row>
    <row r="1279" spans="1:16" x14ac:dyDescent="0.25">
      <c r="A1279" t="s">
        <v>15</v>
      </c>
      <c r="B1279" t="s">
        <v>1501</v>
      </c>
      <c r="C1279" t="s">
        <v>252</v>
      </c>
      <c r="D1279" t="s">
        <v>1658</v>
      </c>
      <c r="E1279" t="s">
        <v>47</v>
      </c>
      <c r="F1279" t="s">
        <v>1653</v>
      </c>
      <c r="G1279" s="1">
        <f>45869</f>
        <v>45869</v>
      </c>
      <c r="H1279" t="s">
        <v>2422</v>
      </c>
      <c r="I1279" s="2">
        <v>735</v>
      </c>
      <c r="J1279" s="2">
        <v>394.08</v>
      </c>
      <c r="K1279" s="2">
        <v>340.92</v>
      </c>
      <c r="L1279" s="2">
        <v>46.38</v>
      </c>
      <c r="M1279" s="2">
        <v>735</v>
      </c>
      <c r="N1279" s="2">
        <v>394.08</v>
      </c>
      <c r="O1279" s="2">
        <v>315.92</v>
      </c>
      <c r="P1279" s="2">
        <v>46.38</v>
      </c>
    </row>
    <row r="1280" spans="1:16" x14ac:dyDescent="0.25">
      <c r="A1280" t="s">
        <v>15</v>
      </c>
      <c r="B1280" t="s">
        <v>1501</v>
      </c>
      <c r="C1280" t="s">
        <v>859</v>
      </c>
      <c r="D1280" t="s">
        <v>1659</v>
      </c>
      <c r="E1280" t="s">
        <v>19</v>
      </c>
      <c r="F1280" t="s">
        <v>861</v>
      </c>
      <c r="G1280" s="1">
        <f>45854</f>
        <v>45854</v>
      </c>
      <c r="H1280" t="s">
        <v>51</v>
      </c>
      <c r="I1280" s="2">
        <v>650.6</v>
      </c>
      <c r="J1280" s="2">
        <v>432.93</v>
      </c>
      <c r="K1280" s="2">
        <v>217.67</v>
      </c>
      <c r="L1280" s="2">
        <v>33.46</v>
      </c>
      <c r="M1280" s="2">
        <v>650.6</v>
      </c>
      <c r="N1280" s="2">
        <v>432.93</v>
      </c>
      <c r="O1280" s="2">
        <v>207.67</v>
      </c>
      <c r="P1280" s="2">
        <v>33.46</v>
      </c>
    </row>
    <row r="1281" spans="1:16" x14ac:dyDescent="0.25">
      <c r="A1281" t="s">
        <v>15</v>
      </c>
      <c r="B1281" t="s">
        <v>1501</v>
      </c>
      <c r="C1281" t="s">
        <v>17</v>
      </c>
      <c r="D1281" t="s">
        <v>1660</v>
      </c>
      <c r="E1281" t="s">
        <v>47</v>
      </c>
      <c r="F1281" t="s">
        <v>20</v>
      </c>
      <c r="G1281" s="1">
        <f>45839</f>
        <v>45839</v>
      </c>
      <c r="H1281" t="s">
        <v>2422</v>
      </c>
      <c r="I1281" s="2">
        <v>5702.7</v>
      </c>
      <c r="J1281" s="2">
        <v>3718.84</v>
      </c>
      <c r="K1281" s="2">
        <v>1983.86</v>
      </c>
      <c r="L1281" s="2">
        <v>34.79</v>
      </c>
      <c r="M1281" s="2">
        <v>5702.7</v>
      </c>
      <c r="N1281" s="2">
        <v>3718.84</v>
      </c>
      <c r="O1281" s="2">
        <v>1941.86</v>
      </c>
      <c r="P1281" s="2">
        <v>34.79</v>
      </c>
    </row>
    <row r="1282" spans="1:16" x14ac:dyDescent="0.25">
      <c r="A1282" t="s">
        <v>15</v>
      </c>
      <c r="B1282" t="s">
        <v>1501</v>
      </c>
      <c r="C1282" t="s">
        <v>17</v>
      </c>
      <c r="D1282" t="s">
        <v>1661</v>
      </c>
      <c r="E1282" t="s">
        <v>47</v>
      </c>
      <c r="F1282" t="s">
        <v>1094</v>
      </c>
      <c r="G1282" s="1">
        <f>45841</f>
        <v>45841</v>
      </c>
      <c r="H1282" t="s">
        <v>2422</v>
      </c>
      <c r="I1282" s="2">
        <v>825.1</v>
      </c>
      <c r="J1282" s="2">
        <v>554.04999999999995</v>
      </c>
      <c r="K1282" s="2">
        <v>271.05</v>
      </c>
      <c r="L1282" s="2">
        <v>32.85</v>
      </c>
      <c r="M1282" s="2">
        <v>825.1</v>
      </c>
      <c r="N1282" s="2">
        <v>554.04999999999995</v>
      </c>
      <c r="O1282" s="2">
        <v>261.05</v>
      </c>
      <c r="P1282" s="2">
        <v>32.85</v>
      </c>
    </row>
    <row r="1283" spans="1:16" x14ac:dyDescent="0.25">
      <c r="A1283" t="s">
        <v>15</v>
      </c>
      <c r="B1283" t="s">
        <v>1501</v>
      </c>
      <c r="C1283" t="s">
        <v>17</v>
      </c>
      <c r="D1283" t="s">
        <v>1662</v>
      </c>
      <c r="E1283" t="s">
        <v>47</v>
      </c>
      <c r="F1283" t="s">
        <v>324</v>
      </c>
      <c r="G1283" s="1">
        <f>45842</f>
        <v>45842</v>
      </c>
      <c r="H1283" t="s">
        <v>2422</v>
      </c>
      <c r="I1283" s="2">
        <v>1059.7</v>
      </c>
      <c r="J1283" s="2">
        <v>729.78</v>
      </c>
      <c r="K1283" s="2">
        <v>329.92</v>
      </c>
      <c r="L1283" s="2">
        <v>31.13</v>
      </c>
      <c r="M1283" s="2">
        <v>1059.7</v>
      </c>
      <c r="N1283" s="2">
        <v>729.78</v>
      </c>
      <c r="O1283" s="2">
        <v>320.92</v>
      </c>
      <c r="P1283" s="2">
        <v>31.13</v>
      </c>
    </row>
    <row r="1284" spans="1:16" x14ac:dyDescent="0.25">
      <c r="A1284" t="s">
        <v>15</v>
      </c>
      <c r="B1284" t="s">
        <v>1501</v>
      </c>
      <c r="C1284" t="s">
        <v>17</v>
      </c>
      <c r="D1284" t="s">
        <v>1663</v>
      </c>
      <c r="E1284" t="s">
        <v>47</v>
      </c>
      <c r="F1284" t="s">
        <v>320</v>
      </c>
      <c r="G1284" s="1">
        <f>45845</f>
        <v>45845</v>
      </c>
      <c r="H1284" t="s">
        <v>2422</v>
      </c>
      <c r="I1284" s="2">
        <v>762</v>
      </c>
      <c r="J1284" s="2">
        <v>482.8</v>
      </c>
      <c r="K1284" s="2">
        <v>279.2</v>
      </c>
      <c r="L1284" s="2">
        <v>36.64</v>
      </c>
      <c r="M1284" s="2">
        <v>762</v>
      </c>
      <c r="N1284" s="2">
        <v>482.8</v>
      </c>
      <c r="O1284" s="2">
        <v>256.39999999999998</v>
      </c>
      <c r="P1284" s="2">
        <v>36.64</v>
      </c>
    </row>
    <row r="1285" spans="1:16" x14ac:dyDescent="0.25">
      <c r="A1285" t="s">
        <v>15</v>
      </c>
      <c r="B1285" t="s">
        <v>1501</v>
      </c>
      <c r="C1285" t="s">
        <v>17</v>
      </c>
      <c r="D1285" t="s">
        <v>1664</v>
      </c>
      <c r="E1285" t="s">
        <v>47</v>
      </c>
      <c r="F1285" t="s">
        <v>348</v>
      </c>
      <c r="G1285" s="1">
        <f>45845</f>
        <v>45845</v>
      </c>
      <c r="H1285" t="s">
        <v>2422</v>
      </c>
      <c r="I1285" s="2">
        <v>646.5</v>
      </c>
      <c r="J1285" s="2">
        <v>439</v>
      </c>
      <c r="K1285" s="2">
        <v>207.5</v>
      </c>
      <c r="L1285" s="2">
        <v>32.1</v>
      </c>
      <c r="M1285" s="2">
        <v>646.5</v>
      </c>
      <c r="N1285" s="2">
        <v>439</v>
      </c>
      <c r="O1285" s="2">
        <v>160.5</v>
      </c>
      <c r="P1285" s="2">
        <v>32.1</v>
      </c>
    </row>
    <row r="1286" spans="1:16" x14ac:dyDescent="0.25">
      <c r="A1286" t="s">
        <v>15</v>
      </c>
      <c r="B1286" t="s">
        <v>1501</v>
      </c>
      <c r="C1286" t="s">
        <v>17</v>
      </c>
      <c r="D1286" t="s">
        <v>1665</v>
      </c>
      <c r="E1286" t="s">
        <v>19</v>
      </c>
      <c r="F1286" t="s">
        <v>388</v>
      </c>
      <c r="G1286" s="1">
        <f>45845</f>
        <v>45845</v>
      </c>
      <c r="H1286" t="s">
        <v>2422</v>
      </c>
      <c r="I1286" s="2">
        <v>1511.7</v>
      </c>
      <c r="J1286" s="2">
        <v>1066.2</v>
      </c>
      <c r="K1286" s="2">
        <v>445.5</v>
      </c>
      <c r="L1286" s="2">
        <v>29.47</v>
      </c>
      <c r="M1286" s="2">
        <v>1511.7</v>
      </c>
      <c r="N1286" s="2">
        <v>1066.2</v>
      </c>
      <c r="O1286" s="2">
        <v>436.5</v>
      </c>
      <c r="P1286" s="2">
        <v>29.47</v>
      </c>
    </row>
    <row r="1287" spans="1:16" x14ac:dyDescent="0.25">
      <c r="A1287" t="s">
        <v>15</v>
      </c>
      <c r="B1287" t="s">
        <v>1501</v>
      </c>
      <c r="C1287" t="s">
        <v>17</v>
      </c>
      <c r="D1287" t="s">
        <v>1666</v>
      </c>
      <c r="E1287" t="s">
        <v>47</v>
      </c>
      <c r="F1287" t="s">
        <v>322</v>
      </c>
      <c r="G1287" s="1">
        <f>45847</f>
        <v>45847</v>
      </c>
      <c r="H1287" t="s">
        <v>2422</v>
      </c>
      <c r="I1287" s="2">
        <v>931.6</v>
      </c>
      <c r="J1287" s="2">
        <v>618.75</v>
      </c>
      <c r="K1287" s="2">
        <v>312.85000000000002</v>
      </c>
      <c r="L1287" s="2">
        <v>33.58</v>
      </c>
      <c r="M1287" s="2">
        <v>931.6</v>
      </c>
      <c r="N1287" s="2">
        <v>618.74</v>
      </c>
      <c r="O1287" s="2">
        <v>311.06</v>
      </c>
      <c r="P1287" s="2">
        <v>33.58</v>
      </c>
    </row>
    <row r="1288" spans="1:16" x14ac:dyDescent="0.25">
      <c r="A1288" t="s">
        <v>15</v>
      </c>
      <c r="B1288" t="s">
        <v>1501</v>
      </c>
      <c r="C1288" t="s">
        <v>17</v>
      </c>
      <c r="D1288" t="s">
        <v>1667</v>
      </c>
      <c r="E1288" t="s">
        <v>47</v>
      </c>
      <c r="F1288" t="s">
        <v>322</v>
      </c>
      <c r="G1288" s="1">
        <f>45847</f>
        <v>45847</v>
      </c>
      <c r="H1288" t="s">
        <v>2422</v>
      </c>
      <c r="I1288" s="2">
        <v>668.6</v>
      </c>
      <c r="J1288" s="2">
        <v>466.53</v>
      </c>
      <c r="K1288" s="2">
        <v>202.07</v>
      </c>
      <c r="L1288" s="2">
        <v>30.22</v>
      </c>
      <c r="M1288" s="2">
        <v>668.6</v>
      </c>
      <c r="N1288" s="2">
        <v>466.53</v>
      </c>
      <c r="O1288" s="2">
        <v>188.99</v>
      </c>
      <c r="P1288" s="2">
        <v>30.22</v>
      </c>
    </row>
    <row r="1289" spans="1:16" x14ac:dyDescent="0.25">
      <c r="A1289" t="s">
        <v>15</v>
      </c>
      <c r="B1289" t="s">
        <v>1501</v>
      </c>
      <c r="C1289" t="s">
        <v>17</v>
      </c>
      <c r="D1289" t="s">
        <v>1668</v>
      </c>
      <c r="E1289" t="s">
        <v>47</v>
      </c>
      <c r="F1289" t="s">
        <v>896</v>
      </c>
      <c r="G1289" s="1">
        <f>45848</f>
        <v>45848</v>
      </c>
      <c r="H1289" t="s">
        <v>2422</v>
      </c>
      <c r="I1289" s="2">
        <v>13400</v>
      </c>
      <c r="J1289" s="2">
        <v>9632.2999999999993</v>
      </c>
      <c r="K1289" s="2">
        <v>3767.7</v>
      </c>
      <c r="L1289" s="2">
        <v>28.12</v>
      </c>
      <c r="M1289" s="2">
        <v>13400</v>
      </c>
      <c r="N1289" s="2">
        <v>9632.2999999999993</v>
      </c>
      <c r="O1289" s="2">
        <v>3517.7</v>
      </c>
      <c r="P1289" s="2">
        <v>28.12</v>
      </c>
    </row>
    <row r="1290" spans="1:16" x14ac:dyDescent="0.25">
      <c r="A1290" t="s">
        <v>15</v>
      </c>
      <c r="B1290" t="s">
        <v>1501</v>
      </c>
      <c r="C1290" t="s">
        <v>17</v>
      </c>
      <c r="D1290" t="s">
        <v>1669</v>
      </c>
      <c r="E1290" t="s">
        <v>47</v>
      </c>
      <c r="F1290" t="s">
        <v>20</v>
      </c>
      <c r="G1290" s="1">
        <f>45848</f>
        <v>45848</v>
      </c>
      <c r="H1290" t="s">
        <v>2422</v>
      </c>
      <c r="I1290" s="2">
        <v>356</v>
      </c>
      <c r="J1290" s="2">
        <v>236</v>
      </c>
      <c r="K1290" s="2">
        <v>120</v>
      </c>
      <c r="L1290" s="2">
        <v>33.71</v>
      </c>
      <c r="M1290" s="2">
        <v>356</v>
      </c>
      <c r="N1290" s="2">
        <v>236</v>
      </c>
      <c r="O1290" s="2">
        <v>111</v>
      </c>
      <c r="P1290" s="2">
        <v>33.71</v>
      </c>
    </row>
    <row r="1291" spans="1:16" x14ac:dyDescent="0.25">
      <c r="A1291" t="s">
        <v>15</v>
      </c>
      <c r="B1291" t="s">
        <v>1501</v>
      </c>
      <c r="C1291" t="s">
        <v>17</v>
      </c>
      <c r="D1291" t="s">
        <v>1670</v>
      </c>
      <c r="E1291" t="s">
        <v>47</v>
      </c>
      <c r="F1291" t="s">
        <v>37</v>
      </c>
      <c r="G1291" s="1">
        <f>45849</f>
        <v>45849</v>
      </c>
      <c r="H1291" t="s">
        <v>2422</v>
      </c>
      <c r="I1291" s="2">
        <v>2117.1999999999998</v>
      </c>
      <c r="J1291" s="2">
        <v>1476.88</v>
      </c>
      <c r="K1291" s="2">
        <v>640.32000000000005</v>
      </c>
      <c r="L1291" s="2">
        <v>30.24</v>
      </c>
      <c r="M1291" s="2">
        <v>2117.1999999999998</v>
      </c>
      <c r="N1291" s="2">
        <v>1476.88</v>
      </c>
      <c r="O1291" s="2">
        <v>598.32000000000005</v>
      </c>
      <c r="P1291" s="2">
        <v>30.24</v>
      </c>
    </row>
    <row r="1292" spans="1:16" x14ac:dyDescent="0.25">
      <c r="A1292" t="s">
        <v>15</v>
      </c>
      <c r="B1292" t="s">
        <v>1501</v>
      </c>
      <c r="C1292" t="s">
        <v>17</v>
      </c>
      <c r="D1292" t="s">
        <v>1671</v>
      </c>
      <c r="E1292" t="s">
        <v>47</v>
      </c>
      <c r="F1292" t="s">
        <v>1283</v>
      </c>
      <c r="G1292" s="1">
        <f>45853</f>
        <v>45853</v>
      </c>
      <c r="H1292" t="s">
        <v>2422</v>
      </c>
      <c r="I1292" s="2">
        <v>2902.9</v>
      </c>
      <c r="J1292" s="2">
        <v>1946.01</v>
      </c>
      <c r="K1292" s="2">
        <v>956.89</v>
      </c>
      <c r="L1292" s="2">
        <v>32.96</v>
      </c>
      <c r="M1292" s="2">
        <v>2902.9</v>
      </c>
      <c r="N1292" s="2">
        <v>1946.01</v>
      </c>
      <c r="O1292" s="2">
        <v>891.49</v>
      </c>
      <c r="P1292" s="2">
        <v>32.96</v>
      </c>
    </row>
    <row r="1293" spans="1:16" x14ac:dyDescent="0.25">
      <c r="A1293" t="s">
        <v>15</v>
      </c>
      <c r="B1293" t="s">
        <v>1501</v>
      </c>
      <c r="C1293" t="s">
        <v>17</v>
      </c>
      <c r="D1293" t="s">
        <v>1672</v>
      </c>
      <c r="E1293" t="s">
        <v>47</v>
      </c>
      <c r="F1293" t="s">
        <v>1094</v>
      </c>
      <c r="G1293" s="1">
        <f>45853</f>
        <v>45853</v>
      </c>
      <c r="H1293" t="s">
        <v>2422</v>
      </c>
      <c r="I1293" s="2">
        <v>882</v>
      </c>
      <c r="J1293" s="2">
        <v>648.84</v>
      </c>
      <c r="K1293" s="2">
        <v>233.16</v>
      </c>
      <c r="L1293" s="2">
        <v>26.44</v>
      </c>
      <c r="M1293" s="2">
        <v>882</v>
      </c>
      <c r="N1293" s="2">
        <v>648.84</v>
      </c>
      <c r="O1293" s="2">
        <v>233.16</v>
      </c>
      <c r="P1293" s="2">
        <v>26.44</v>
      </c>
    </row>
    <row r="1294" spans="1:16" x14ac:dyDescent="0.25">
      <c r="A1294" t="s">
        <v>15</v>
      </c>
      <c r="B1294" t="s">
        <v>1501</v>
      </c>
      <c r="C1294" t="s">
        <v>17</v>
      </c>
      <c r="D1294" t="s">
        <v>1673</v>
      </c>
      <c r="E1294" t="s">
        <v>47</v>
      </c>
      <c r="F1294" t="s">
        <v>326</v>
      </c>
      <c r="G1294" s="1">
        <f>45854</f>
        <v>45854</v>
      </c>
      <c r="H1294" t="s">
        <v>2422</v>
      </c>
      <c r="I1294" s="2">
        <v>765</v>
      </c>
      <c r="J1294" s="2">
        <v>512</v>
      </c>
      <c r="K1294" s="2">
        <v>253</v>
      </c>
      <c r="L1294" s="2">
        <v>33.07</v>
      </c>
      <c r="M1294" s="2">
        <v>765</v>
      </c>
      <c r="N1294" s="2">
        <v>512</v>
      </c>
      <c r="O1294" s="2">
        <v>217</v>
      </c>
      <c r="P1294" s="2">
        <v>33.07</v>
      </c>
    </row>
    <row r="1295" spans="1:16" x14ac:dyDescent="0.25">
      <c r="A1295" t="s">
        <v>15</v>
      </c>
      <c r="B1295" t="s">
        <v>1501</v>
      </c>
      <c r="C1295" t="s">
        <v>17</v>
      </c>
      <c r="D1295" t="s">
        <v>1674</v>
      </c>
      <c r="E1295" t="s">
        <v>47</v>
      </c>
      <c r="F1295" t="s">
        <v>626</v>
      </c>
      <c r="G1295" s="1">
        <f>45854</f>
        <v>45854</v>
      </c>
      <c r="H1295" t="s">
        <v>2422</v>
      </c>
      <c r="I1295" s="2">
        <v>524</v>
      </c>
      <c r="J1295" s="2">
        <v>341.8</v>
      </c>
      <c r="K1295" s="2">
        <v>182.2</v>
      </c>
      <c r="L1295" s="2">
        <v>34.770000000000003</v>
      </c>
      <c r="M1295" s="2">
        <v>524</v>
      </c>
      <c r="N1295" s="2">
        <v>341.8</v>
      </c>
      <c r="O1295" s="2">
        <v>173.2</v>
      </c>
      <c r="P1295" s="2">
        <v>34.770000000000003</v>
      </c>
    </row>
    <row r="1296" spans="1:16" x14ac:dyDescent="0.25">
      <c r="A1296" t="s">
        <v>15</v>
      </c>
      <c r="B1296" t="s">
        <v>1501</v>
      </c>
      <c r="C1296" t="s">
        <v>17</v>
      </c>
      <c r="D1296" t="s">
        <v>1675</v>
      </c>
      <c r="E1296" t="s">
        <v>47</v>
      </c>
      <c r="F1296" t="s">
        <v>320</v>
      </c>
      <c r="G1296" s="1">
        <f>45854</f>
        <v>45854</v>
      </c>
      <c r="H1296" t="s">
        <v>2422</v>
      </c>
      <c r="I1296" s="2">
        <v>3495.6</v>
      </c>
      <c r="J1296" s="2">
        <v>1885.86</v>
      </c>
      <c r="K1296" s="2">
        <v>1609.74</v>
      </c>
      <c r="L1296" s="2">
        <v>46.05</v>
      </c>
      <c r="M1296" s="2">
        <v>3495.6</v>
      </c>
      <c r="N1296" s="2">
        <v>1858.86</v>
      </c>
      <c r="O1296" s="2">
        <v>1571.13</v>
      </c>
      <c r="P1296" s="2">
        <v>46.82</v>
      </c>
    </row>
    <row r="1297" spans="1:16" x14ac:dyDescent="0.25">
      <c r="A1297" t="s">
        <v>15</v>
      </c>
      <c r="B1297" t="s">
        <v>1501</v>
      </c>
      <c r="C1297" t="s">
        <v>17</v>
      </c>
      <c r="D1297" t="s">
        <v>1676</v>
      </c>
      <c r="E1297" t="s">
        <v>19</v>
      </c>
      <c r="F1297" t="s">
        <v>35</v>
      </c>
      <c r="G1297" s="1">
        <f>45854</f>
        <v>45854</v>
      </c>
      <c r="H1297" t="s">
        <v>2422</v>
      </c>
      <c r="I1297" s="2">
        <v>219.4</v>
      </c>
      <c r="J1297" s="2">
        <v>126.95</v>
      </c>
      <c r="K1297" s="2">
        <v>92.45</v>
      </c>
      <c r="L1297" s="2">
        <v>42.14</v>
      </c>
      <c r="M1297" s="2">
        <v>219.4</v>
      </c>
      <c r="N1297" s="2">
        <v>139.07</v>
      </c>
      <c r="O1297" s="2">
        <v>46.33</v>
      </c>
      <c r="P1297" s="2">
        <v>36.61</v>
      </c>
    </row>
    <row r="1298" spans="1:16" x14ac:dyDescent="0.25">
      <c r="A1298" t="s">
        <v>15</v>
      </c>
      <c r="B1298" t="s">
        <v>1501</v>
      </c>
      <c r="C1298" t="s">
        <v>17</v>
      </c>
      <c r="D1298" t="s">
        <v>1677</v>
      </c>
      <c r="E1298" t="s">
        <v>47</v>
      </c>
      <c r="F1298" t="s">
        <v>348</v>
      </c>
      <c r="G1298" s="1">
        <f>45855</f>
        <v>45855</v>
      </c>
      <c r="H1298" t="s">
        <v>2422</v>
      </c>
      <c r="I1298" s="2">
        <v>801.85</v>
      </c>
      <c r="J1298" s="2">
        <v>328.25</v>
      </c>
      <c r="K1298" s="2">
        <v>473.6</v>
      </c>
      <c r="L1298" s="2">
        <v>59.06</v>
      </c>
      <c r="M1298" s="2">
        <v>801.85</v>
      </c>
      <c r="N1298" s="2">
        <v>328.25</v>
      </c>
      <c r="O1298" s="2">
        <v>426.6</v>
      </c>
      <c r="P1298" s="2">
        <v>59.06</v>
      </c>
    </row>
    <row r="1299" spans="1:16" x14ac:dyDescent="0.25">
      <c r="A1299" t="s">
        <v>15</v>
      </c>
      <c r="B1299" t="s">
        <v>1501</v>
      </c>
      <c r="C1299" t="s">
        <v>17</v>
      </c>
      <c r="D1299" t="s">
        <v>1678</v>
      </c>
      <c r="E1299" t="s">
        <v>19</v>
      </c>
      <c r="F1299" t="s">
        <v>26</v>
      </c>
      <c r="G1299" s="1">
        <f>45855</f>
        <v>45855</v>
      </c>
      <c r="H1299" t="s">
        <v>2422</v>
      </c>
      <c r="I1299" s="2">
        <v>2559.5</v>
      </c>
      <c r="J1299" s="2">
        <v>1575.55</v>
      </c>
      <c r="K1299" s="2">
        <v>983.95</v>
      </c>
      <c r="L1299" s="2">
        <v>38.44</v>
      </c>
      <c r="M1299" s="2">
        <v>2559.5</v>
      </c>
      <c r="N1299" s="2">
        <v>1575.55</v>
      </c>
      <c r="O1299" s="2">
        <v>974.95</v>
      </c>
      <c r="P1299" s="2">
        <v>38.44</v>
      </c>
    </row>
    <row r="1300" spans="1:16" x14ac:dyDescent="0.25">
      <c r="A1300" t="s">
        <v>15</v>
      </c>
      <c r="B1300" t="s">
        <v>1501</v>
      </c>
      <c r="C1300" t="s">
        <v>17</v>
      </c>
      <c r="D1300" t="s">
        <v>1679</v>
      </c>
      <c r="E1300" t="s">
        <v>47</v>
      </c>
      <c r="F1300" t="s">
        <v>316</v>
      </c>
      <c r="G1300" s="1">
        <f>45862</f>
        <v>45862</v>
      </c>
      <c r="H1300" t="s">
        <v>2422</v>
      </c>
      <c r="I1300" s="2">
        <v>482.2</v>
      </c>
      <c r="J1300" s="2">
        <v>311.56</v>
      </c>
      <c r="K1300" s="2">
        <v>170.64</v>
      </c>
      <c r="L1300" s="2">
        <v>35.39</v>
      </c>
      <c r="M1300" s="2">
        <v>482.2</v>
      </c>
      <c r="N1300" s="2">
        <v>311.56</v>
      </c>
      <c r="O1300" s="2">
        <v>120.64</v>
      </c>
      <c r="P1300" s="2">
        <v>35.39</v>
      </c>
    </row>
    <row r="1301" spans="1:16" x14ac:dyDescent="0.25">
      <c r="A1301" t="s">
        <v>15</v>
      </c>
      <c r="B1301" t="s">
        <v>1501</v>
      </c>
      <c r="C1301" t="s">
        <v>17</v>
      </c>
      <c r="D1301" t="s">
        <v>1680</v>
      </c>
      <c r="E1301" t="s">
        <v>19</v>
      </c>
      <c r="F1301" t="s">
        <v>348</v>
      </c>
      <c r="G1301" s="1">
        <f>45863</f>
        <v>45863</v>
      </c>
      <c r="H1301" t="s">
        <v>2422</v>
      </c>
      <c r="I1301" s="2">
        <v>3578</v>
      </c>
      <c r="J1301" s="2">
        <v>2501.61</v>
      </c>
      <c r="K1301" s="2">
        <v>1076.3900000000001</v>
      </c>
      <c r="L1301" s="2">
        <v>30.08</v>
      </c>
      <c r="M1301" s="2">
        <v>3578</v>
      </c>
      <c r="N1301" s="2">
        <v>2452.5</v>
      </c>
      <c r="O1301" s="2">
        <v>1079.46</v>
      </c>
      <c r="P1301" s="2">
        <v>31.46</v>
      </c>
    </row>
    <row r="1302" spans="1:16" x14ac:dyDescent="0.25">
      <c r="A1302" t="s">
        <v>15</v>
      </c>
      <c r="B1302" t="s">
        <v>1501</v>
      </c>
      <c r="C1302" t="s">
        <v>17</v>
      </c>
      <c r="D1302" t="s">
        <v>1681</v>
      </c>
      <c r="E1302" t="s">
        <v>47</v>
      </c>
      <c r="F1302" t="s">
        <v>896</v>
      </c>
      <c r="G1302" s="1">
        <f>45863</f>
        <v>45863</v>
      </c>
      <c r="H1302" t="s">
        <v>2422</v>
      </c>
      <c r="I1302" s="2">
        <v>1129.9000000000001</v>
      </c>
      <c r="J1302" s="2">
        <v>762.35</v>
      </c>
      <c r="K1302" s="2">
        <v>367.55</v>
      </c>
      <c r="L1302" s="2">
        <v>32.53</v>
      </c>
      <c r="M1302" s="2">
        <v>1129.9000000000001</v>
      </c>
      <c r="N1302" s="2">
        <v>762.35</v>
      </c>
      <c r="O1302" s="2">
        <v>358.55</v>
      </c>
      <c r="P1302" s="2">
        <v>32.53</v>
      </c>
    </row>
    <row r="1303" spans="1:16" x14ac:dyDescent="0.25">
      <c r="A1303" t="s">
        <v>15</v>
      </c>
      <c r="B1303" t="s">
        <v>1501</v>
      </c>
      <c r="C1303" t="s">
        <v>17</v>
      </c>
      <c r="D1303" t="s">
        <v>1682</v>
      </c>
      <c r="E1303" t="s">
        <v>47</v>
      </c>
      <c r="F1303" t="s">
        <v>20</v>
      </c>
      <c r="G1303" s="1">
        <f>45867</f>
        <v>45867</v>
      </c>
      <c r="H1303" t="s">
        <v>2422</v>
      </c>
      <c r="I1303" s="2">
        <v>1729.7</v>
      </c>
      <c r="J1303" s="2">
        <v>627.41</v>
      </c>
      <c r="K1303" s="2">
        <v>1102.29</v>
      </c>
      <c r="L1303" s="2">
        <v>63.73</v>
      </c>
      <c r="M1303" s="2">
        <v>1729.7</v>
      </c>
      <c r="N1303" s="2">
        <v>627.41999999999996</v>
      </c>
      <c r="O1303" s="2">
        <v>1036.28</v>
      </c>
      <c r="P1303" s="2">
        <v>63.73</v>
      </c>
    </row>
    <row r="1304" spans="1:16" x14ac:dyDescent="0.25">
      <c r="A1304" t="s">
        <v>15</v>
      </c>
      <c r="B1304" t="s">
        <v>1501</v>
      </c>
      <c r="C1304" t="s">
        <v>17</v>
      </c>
      <c r="D1304" t="s">
        <v>1683</v>
      </c>
      <c r="E1304" t="s">
        <v>19</v>
      </c>
      <c r="F1304" t="s">
        <v>20</v>
      </c>
      <c r="G1304" s="1">
        <f>45867</f>
        <v>45867</v>
      </c>
      <c r="H1304" t="s">
        <v>2422</v>
      </c>
      <c r="I1304" s="2">
        <v>781.2</v>
      </c>
      <c r="J1304" s="2">
        <v>549.1</v>
      </c>
      <c r="K1304" s="2">
        <v>232.1</v>
      </c>
      <c r="L1304" s="2">
        <v>29.71</v>
      </c>
      <c r="M1304" s="2">
        <v>781.2</v>
      </c>
      <c r="N1304" s="2">
        <v>549.1</v>
      </c>
      <c r="O1304" s="2">
        <v>168.1</v>
      </c>
      <c r="P1304" s="2">
        <v>29.71</v>
      </c>
    </row>
    <row r="1305" spans="1:16" x14ac:dyDescent="0.25">
      <c r="A1305" t="s">
        <v>15</v>
      </c>
      <c r="B1305" t="s">
        <v>1501</v>
      </c>
      <c r="C1305" t="s">
        <v>17</v>
      </c>
      <c r="D1305" t="s">
        <v>1684</v>
      </c>
      <c r="E1305" t="s">
        <v>47</v>
      </c>
      <c r="F1305" t="s">
        <v>359</v>
      </c>
      <c r="G1305" s="1">
        <f>45867</f>
        <v>45867</v>
      </c>
      <c r="H1305" t="s">
        <v>2422</v>
      </c>
      <c r="I1305" s="2">
        <v>474</v>
      </c>
      <c r="J1305" s="2">
        <v>315.38</v>
      </c>
      <c r="K1305" s="2">
        <v>158.62</v>
      </c>
      <c r="L1305" s="2">
        <v>33.46</v>
      </c>
      <c r="M1305" s="2">
        <v>474</v>
      </c>
      <c r="N1305" s="2">
        <v>315.38</v>
      </c>
      <c r="O1305" s="2">
        <v>148.62</v>
      </c>
      <c r="P1305" s="2">
        <v>33.46</v>
      </c>
    </row>
    <row r="1306" spans="1:16" x14ac:dyDescent="0.25">
      <c r="A1306" t="s">
        <v>15</v>
      </c>
      <c r="B1306" t="s">
        <v>1501</v>
      </c>
      <c r="C1306" t="s">
        <v>17</v>
      </c>
      <c r="D1306" t="s">
        <v>1685</v>
      </c>
      <c r="E1306" t="s">
        <v>47</v>
      </c>
      <c r="F1306" t="s">
        <v>320</v>
      </c>
      <c r="G1306" s="1">
        <f>45869</f>
        <v>45869</v>
      </c>
      <c r="H1306" t="s">
        <v>2422</v>
      </c>
      <c r="I1306" s="2">
        <v>621</v>
      </c>
      <c r="J1306" s="2">
        <v>366.2</v>
      </c>
      <c r="K1306" s="2">
        <v>254.8</v>
      </c>
      <c r="L1306" s="2">
        <v>41.03</v>
      </c>
      <c r="M1306" s="2">
        <v>621</v>
      </c>
      <c r="N1306" s="2">
        <v>366.2</v>
      </c>
      <c r="O1306" s="2">
        <v>227.6</v>
      </c>
      <c r="P1306" s="2">
        <v>41.03</v>
      </c>
    </row>
    <row r="1307" spans="1:16" x14ac:dyDescent="0.25">
      <c r="A1307" t="s">
        <v>15</v>
      </c>
      <c r="B1307" t="s">
        <v>1501</v>
      </c>
      <c r="C1307" t="s">
        <v>17</v>
      </c>
      <c r="D1307" t="s">
        <v>1686</v>
      </c>
      <c r="E1307" t="s">
        <v>47</v>
      </c>
      <c r="F1307" t="s">
        <v>1687</v>
      </c>
      <c r="G1307" s="1">
        <f>45869</f>
        <v>45869</v>
      </c>
      <c r="H1307" t="s">
        <v>2422</v>
      </c>
      <c r="I1307" s="2">
        <v>2773.1</v>
      </c>
      <c r="J1307" s="2">
        <v>1750.53</v>
      </c>
      <c r="K1307" s="2">
        <v>1022.57</v>
      </c>
      <c r="L1307" s="2">
        <v>36.869999999999997</v>
      </c>
      <c r="M1307" s="2">
        <v>2773.1</v>
      </c>
      <c r="N1307" s="2">
        <v>1750.53</v>
      </c>
      <c r="O1307" s="2">
        <v>1022.57</v>
      </c>
      <c r="P1307" s="2">
        <v>36.869999999999997</v>
      </c>
    </row>
    <row r="1308" spans="1:16" x14ac:dyDescent="0.25">
      <c r="A1308" t="s">
        <v>15</v>
      </c>
      <c r="B1308" t="s">
        <v>1501</v>
      </c>
      <c r="C1308" t="s">
        <v>17</v>
      </c>
      <c r="D1308" t="s">
        <v>1688</v>
      </c>
      <c r="E1308" t="s">
        <v>47</v>
      </c>
      <c r="F1308" t="s">
        <v>320</v>
      </c>
      <c r="G1308" s="1">
        <f>45842</f>
        <v>45842</v>
      </c>
      <c r="H1308" t="s">
        <v>2422</v>
      </c>
      <c r="I1308" s="2">
        <v>1070</v>
      </c>
      <c r="J1308" s="2">
        <v>680.08</v>
      </c>
      <c r="K1308" s="2">
        <v>389.92</v>
      </c>
      <c r="L1308" s="2">
        <v>36.44</v>
      </c>
      <c r="M1308" s="2">
        <v>1070</v>
      </c>
      <c r="N1308" s="2">
        <v>642.29999999999995</v>
      </c>
      <c r="O1308" s="2">
        <v>400.7</v>
      </c>
      <c r="P1308" s="2">
        <v>39.97</v>
      </c>
    </row>
    <row r="1309" spans="1:16" x14ac:dyDescent="0.25">
      <c r="A1309" t="s">
        <v>15</v>
      </c>
      <c r="B1309" t="s">
        <v>1501</v>
      </c>
      <c r="C1309" t="s">
        <v>17</v>
      </c>
      <c r="D1309" t="s">
        <v>1689</v>
      </c>
      <c r="E1309" t="s">
        <v>47</v>
      </c>
      <c r="F1309" t="s">
        <v>316</v>
      </c>
      <c r="G1309" s="1">
        <f>45860</f>
        <v>45860</v>
      </c>
      <c r="H1309" t="s">
        <v>2422</v>
      </c>
      <c r="I1309" s="2">
        <v>630</v>
      </c>
      <c r="J1309" s="2">
        <v>311.81</v>
      </c>
      <c r="K1309" s="2">
        <v>318.19</v>
      </c>
      <c r="L1309" s="2">
        <v>50.51</v>
      </c>
      <c r="M1309" s="2">
        <v>630</v>
      </c>
      <c r="N1309" s="2">
        <v>303.93</v>
      </c>
      <c r="O1309" s="2">
        <v>245.26</v>
      </c>
      <c r="P1309" s="2">
        <v>51.76</v>
      </c>
    </row>
    <row r="1310" spans="1:16" x14ac:dyDescent="0.25">
      <c r="A1310" t="s">
        <v>15</v>
      </c>
      <c r="B1310" t="s">
        <v>1690</v>
      </c>
      <c r="C1310" t="s">
        <v>42</v>
      </c>
      <c r="D1310" t="s">
        <v>1691</v>
      </c>
      <c r="E1310" t="s">
        <v>47</v>
      </c>
      <c r="F1310" t="s">
        <v>48</v>
      </c>
      <c r="G1310" s="1">
        <f>45870</f>
        <v>45870</v>
      </c>
      <c r="H1310" t="s">
        <v>2422</v>
      </c>
      <c r="I1310" s="2">
        <v>38</v>
      </c>
      <c r="J1310" s="2">
        <v>32</v>
      </c>
      <c r="K1310" s="2">
        <v>6</v>
      </c>
      <c r="L1310" s="2">
        <v>15.79</v>
      </c>
      <c r="M1310" s="2">
        <v>38</v>
      </c>
      <c r="N1310" s="2">
        <v>32</v>
      </c>
      <c r="O1310" s="2">
        <v>6</v>
      </c>
      <c r="P1310" s="2">
        <v>15.79</v>
      </c>
    </row>
    <row r="1311" spans="1:16" x14ac:dyDescent="0.25">
      <c r="A1311" t="s">
        <v>15</v>
      </c>
      <c r="B1311" t="s">
        <v>1690</v>
      </c>
      <c r="C1311" t="s">
        <v>42</v>
      </c>
      <c r="D1311" t="s">
        <v>1692</v>
      </c>
      <c r="E1311" t="s">
        <v>47</v>
      </c>
      <c r="F1311" t="s">
        <v>44</v>
      </c>
      <c r="G1311" s="1">
        <f>45870</f>
        <v>45870</v>
      </c>
      <c r="H1311" t="s">
        <v>2422</v>
      </c>
      <c r="I1311" s="2">
        <v>1713</v>
      </c>
      <c r="J1311" s="2">
        <v>1001.3</v>
      </c>
      <c r="K1311" s="2">
        <v>711.7</v>
      </c>
      <c r="L1311" s="2">
        <v>41.55</v>
      </c>
      <c r="M1311" s="2">
        <v>1713</v>
      </c>
      <c r="N1311" s="2">
        <v>1215.4000000000001</v>
      </c>
      <c r="O1311" s="2">
        <v>487.6</v>
      </c>
      <c r="P1311" s="2">
        <v>29.05</v>
      </c>
    </row>
    <row r="1312" spans="1:16" x14ac:dyDescent="0.25">
      <c r="A1312" t="s">
        <v>15</v>
      </c>
      <c r="B1312" t="s">
        <v>1690</v>
      </c>
      <c r="C1312" t="s">
        <v>42</v>
      </c>
      <c r="D1312" t="s">
        <v>1693</v>
      </c>
      <c r="E1312" t="s">
        <v>47</v>
      </c>
      <c r="F1312" t="s">
        <v>44</v>
      </c>
      <c r="G1312" s="1">
        <f>45874</f>
        <v>45874</v>
      </c>
      <c r="H1312" t="s">
        <v>2422</v>
      </c>
      <c r="I1312" s="2">
        <v>1474.05</v>
      </c>
      <c r="J1312" s="2">
        <v>867.65</v>
      </c>
      <c r="K1312" s="2">
        <v>606.4</v>
      </c>
      <c r="L1312" s="2">
        <v>41.14</v>
      </c>
      <c r="M1312" s="2">
        <v>1474.05</v>
      </c>
      <c r="N1312" s="2">
        <v>107</v>
      </c>
      <c r="O1312" s="2">
        <v>1356.05</v>
      </c>
      <c r="P1312" s="2">
        <v>92.74</v>
      </c>
    </row>
    <row r="1313" spans="1:16" x14ac:dyDescent="0.25">
      <c r="A1313" t="s">
        <v>15</v>
      </c>
      <c r="B1313" t="s">
        <v>1690</v>
      </c>
      <c r="C1313" t="s">
        <v>42</v>
      </c>
      <c r="D1313" t="s">
        <v>1694</v>
      </c>
      <c r="E1313" t="s">
        <v>19</v>
      </c>
      <c r="F1313" t="s">
        <v>48</v>
      </c>
      <c r="G1313" s="1">
        <f>45876</f>
        <v>45876</v>
      </c>
      <c r="H1313" t="s">
        <v>2422</v>
      </c>
      <c r="I1313" s="2">
        <v>168.08</v>
      </c>
      <c r="J1313" s="2">
        <v>130.06</v>
      </c>
      <c r="K1313" s="2">
        <v>38.020000000000003</v>
      </c>
      <c r="L1313" s="2">
        <v>22.62</v>
      </c>
      <c r="M1313" s="2">
        <v>168.08</v>
      </c>
      <c r="N1313" s="2">
        <v>130.06</v>
      </c>
      <c r="O1313" s="2">
        <v>38.020000000000003</v>
      </c>
      <c r="P1313" s="2">
        <v>22.62</v>
      </c>
    </row>
    <row r="1314" spans="1:16" x14ac:dyDescent="0.25">
      <c r="A1314" t="s">
        <v>15</v>
      </c>
      <c r="B1314" t="s">
        <v>1690</v>
      </c>
      <c r="C1314" t="s">
        <v>17</v>
      </c>
      <c r="D1314" t="s">
        <v>1695</v>
      </c>
      <c r="E1314" t="s">
        <v>19</v>
      </c>
      <c r="F1314" t="s">
        <v>50</v>
      </c>
      <c r="G1314" s="1">
        <f>45870</f>
        <v>45870</v>
      </c>
      <c r="H1314" t="s">
        <v>51</v>
      </c>
      <c r="I1314" s="2">
        <v>4612.0600000000004</v>
      </c>
      <c r="J1314" s="2">
        <v>3209.08</v>
      </c>
      <c r="K1314" s="2">
        <v>1402.98</v>
      </c>
      <c r="L1314" s="2">
        <v>30.42</v>
      </c>
      <c r="M1314" s="2">
        <v>4612.0600000000004</v>
      </c>
      <c r="N1314" s="2">
        <v>3209.08</v>
      </c>
      <c r="O1314" s="2">
        <v>1345.98</v>
      </c>
      <c r="P1314" s="2">
        <v>30.42</v>
      </c>
    </row>
    <row r="1315" spans="1:16" x14ac:dyDescent="0.25">
      <c r="A1315" t="s">
        <v>15</v>
      </c>
      <c r="B1315" t="s">
        <v>1690</v>
      </c>
      <c r="C1315" t="s">
        <v>17</v>
      </c>
      <c r="D1315" t="s">
        <v>1696</v>
      </c>
      <c r="E1315" t="s">
        <v>19</v>
      </c>
      <c r="F1315" t="s">
        <v>50</v>
      </c>
      <c r="G1315" s="1">
        <f>45873</f>
        <v>45873</v>
      </c>
      <c r="H1315" t="s">
        <v>51</v>
      </c>
      <c r="I1315" s="2">
        <v>986.59</v>
      </c>
      <c r="J1315" s="2">
        <v>800.5</v>
      </c>
      <c r="K1315" s="2">
        <v>186.09</v>
      </c>
      <c r="L1315" s="2">
        <v>18.86</v>
      </c>
      <c r="M1315" s="2">
        <v>986.59</v>
      </c>
      <c r="N1315" s="2">
        <v>569.35</v>
      </c>
      <c r="O1315" s="2">
        <v>387.24</v>
      </c>
      <c r="P1315" s="2">
        <v>42.29</v>
      </c>
    </row>
    <row r="1316" spans="1:16" x14ac:dyDescent="0.25">
      <c r="A1316" t="s">
        <v>15</v>
      </c>
      <c r="B1316" t="s">
        <v>1690</v>
      </c>
      <c r="C1316" t="s">
        <v>17</v>
      </c>
      <c r="D1316" t="s">
        <v>1697</v>
      </c>
      <c r="E1316" t="s">
        <v>19</v>
      </c>
      <c r="F1316" t="s">
        <v>1305</v>
      </c>
      <c r="G1316" s="1">
        <f>45873</f>
        <v>45873</v>
      </c>
      <c r="H1316" t="s">
        <v>51</v>
      </c>
      <c r="I1316" s="2">
        <v>184.8</v>
      </c>
      <c r="J1316" s="2">
        <v>119.5</v>
      </c>
      <c r="K1316" s="2">
        <v>65.3</v>
      </c>
      <c r="L1316" s="2">
        <v>35.340000000000003</v>
      </c>
      <c r="M1316" s="2">
        <v>184.8</v>
      </c>
      <c r="N1316" s="2">
        <v>119.5</v>
      </c>
      <c r="O1316" s="2">
        <v>39.299999999999997</v>
      </c>
      <c r="P1316" s="2">
        <v>35.340000000000003</v>
      </c>
    </row>
    <row r="1317" spans="1:16" x14ac:dyDescent="0.25">
      <c r="A1317" t="s">
        <v>15</v>
      </c>
      <c r="B1317" t="s">
        <v>1690</v>
      </c>
      <c r="C1317" t="s">
        <v>17</v>
      </c>
      <c r="D1317" t="s">
        <v>1698</v>
      </c>
      <c r="E1317" t="s">
        <v>19</v>
      </c>
      <c r="F1317" t="s">
        <v>491</v>
      </c>
      <c r="G1317" s="1">
        <f>45874</f>
        <v>45874</v>
      </c>
      <c r="H1317" t="s">
        <v>51</v>
      </c>
      <c r="I1317" s="2">
        <v>181</v>
      </c>
      <c r="J1317" s="2">
        <v>120.25</v>
      </c>
      <c r="K1317" s="2">
        <v>60.75</v>
      </c>
      <c r="L1317" s="2">
        <v>33.56</v>
      </c>
      <c r="M1317" s="2">
        <v>181</v>
      </c>
      <c r="N1317" s="2">
        <v>120.25</v>
      </c>
      <c r="O1317" s="2">
        <v>49.57</v>
      </c>
      <c r="P1317" s="2">
        <v>33.56</v>
      </c>
    </row>
    <row r="1318" spans="1:16" x14ac:dyDescent="0.25">
      <c r="A1318" t="s">
        <v>15</v>
      </c>
      <c r="B1318" t="s">
        <v>1690</v>
      </c>
      <c r="C1318" t="s">
        <v>17</v>
      </c>
      <c r="D1318" t="s">
        <v>1699</v>
      </c>
      <c r="E1318" t="s">
        <v>19</v>
      </c>
      <c r="F1318" t="s">
        <v>775</v>
      </c>
      <c r="G1318" s="1">
        <f>45875</f>
        <v>45875</v>
      </c>
      <c r="H1318" t="s">
        <v>51</v>
      </c>
      <c r="I1318" s="2">
        <v>381.6</v>
      </c>
      <c r="J1318" s="2">
        <v>252.1</v>
      </c>
      <c r="K1318" s="2">
        <v>129.5</v>
      </c>
      <c r="L1318" s="2">
        <v>33.94</v>
      </c>
      <c r="M1318" s="2">
        <v>381.6</v>
      </c>
      <c r="N1318" s="2">
        <v>252.1</v>
      </c>
      <c r="O1318" s="2">
        <v>120.5</v>
      </c>
      <c r="P1318" s="2">
        <v>33.94</v>
      </c>
    </row>
    <row r="1319" spans="1:16" x14ac:dyDescent="0.25">
      <c r="A1319" t="s">
        <v>15</v>
      </c>
      <c r="B1319" t="s">
        <v>1690</v>
      </c>
      <c r="C1319" t="s">
        <v>17</v>
      </c>
      <c r="D1319" t="s">
        <v>1700</v>
      </c>
      <c r="E1319" t="s">
        <v>19</v>
      </c>
      <c r="F1319" t="s">
        <v>184</v>
      </c>
      <c r="G1319" s="1">
        <f>45875</f>
        <v>45875</v>
      </c>
      <c r="H1319" t="s">
        <v>51</v>
      </c>
      <c r="I1319" s="2">
        <v>706.7</v>
      </c>
      <c r="J1319" s="2">
        <v>469.11</v>
      </c>
      <c r="K1319" s="2">
        <v>237.59</v>
      </c>
      <c r="L1319" s="2">
        <v>33.619999999999997</v>
      </c>
      <c r="M1319" s="2">
        <v>706.7</v>
      </c>
      <c r="N1319" s="2">
        <v>469.11</v>
      </c>
      <c r="O1319" s="2">
        <v>179.59</v>
      </c>
      <c r="P1319" s="2">
        <v>33.619999999999997</v>
      </c>
    </row>
    <row r="1320" spans="1:16" x14ac:dyDescent="0.25">
      <c r="A1320" t="s">
        <v>15</v>
      </c>
      <c r="B1320" t="s">
        <v>1690</v>
      </c>
      <c r="C1320" t="s">
        <v>17</v>
      </c>
      <c r="D1320" t="s">
        <v>1701</v>
      </c>
      <c r="E1320" t="s">
        <v>19</v>
      </c>
      <c r="F1320" t="s">
        <v>491</v>
      </c>
      <c r="G1320" s="1">
        <f>45880</f>
        <v>45880</v>
      </c>
      <c r="H1320" t="s">
        <v>51</v>
      </c>
      <c r="I1320" s="2">
        <v>157.36000000000001</v>
      </c>
      <c r="J1320" s="2">
        <v>103.68</v>
      </c>
      <c r="K1320" s="2">
        <v>53.68</v>
      </c>
      <c r="L1320" s="2">
        <v>34.11</v>
      </c>
      <c r="M1320" s="2">
        <v>157.36000000000001</v>
      </c>
      <c r="N1320" s="2">
        <v>101.79</v>
      </c>
      <c r="O1320" s="2">
        <v>46.57</v>
      </c>
      <c r="P1320" s="2">
        <v>35.31</v>
      </c>
    </row>
    <row r="1321" spans="1:16" x14ac:dyDescent="0.25">
      <c r="A1321" t="s">
        <v>15</v>
      </c>
      <c r="B1321" t="s">
        <v>1690</v>
      </c>
      <c r="C1321" t="s">
        <v>17</v>
      </c>
      <c r="D1321" t="s">
        <v>1702</v>
      </c>
      <c r="E1321" t="s">
        <v>19</v>
      </c>
      <c r="F1321" t="s">
        <v>1703</v>
      </c>
      <c r="G1321" s="1">
        <f>45880</f>
        <v>45880</v>
      </c>
      <c r="H1321" t="s">
        <v>51</v>
      </c>
      <c r="I1321" s="2">
        <v>1781.45</v>
      </c>
      <c r="J1321" s="2">
        <v>1113.21</v>
      </c>
      <c r="K1321" s="2">
        <v>668.24</v>
      </c>
      <c r="L1321" s="2">
        <v>37.51</v>
      </c>
      <c r="M1321" s="2">
        <v>1781.45</v>
      </c>
      <c r="N1321" s="2">
        <v>1113.19</v>
      </c>
      <c r="O1321" s="2">
        <v>605.26</v>
      </c>
      <c r="P1321" s="2">
        <v>37.51</v>
      </c>
    </row>
    <row r="1322" spans="1:16" x14ac:dyDescent="0.25">
      <c r="A1322" t="s">
        <v>15</v>
      </c>
      <c r="B1322" t="s">
        <v>1690</v>
      </c>
      <c r="C1322" t="s">
        <v>17</v>
      </c>
      <c r="D1322" t="s">
        <v>1704</v>
      </c>
      <c r="E1322" t="s">
        <v>19</v>
      </c>
      <c r="F1322" t="s">
        <v>1705</v>
      </c>
      <c r="G1322" s="1">
        <f>45881</f>
        <v>45881</v>
      </c>
      <c r="H1322" t="s">
        <v>51</v>
      </c>
      <c r="I1322" s="2">
        <v>1839.3</v>
      </c>
      <c r="J1322" s="2">
        <v>1291</v>
      </c>
      <c r="K1322" s="2">
        <v>548.29999999999995</v>
      </c>
      <c r="L1322" s="2">
        <v>29.81</v>
      </c>
      <c r="M1322" s="2">
        <v>1839.3</v>
      </c>
      <c r="N1322" s="2">
        <v>1291</v>
      </c>
      <c r="O1322" s="2">
        <v>513.29999999999995</v>
      </c>
      <c r="P1322" s="2">
        <v>29.81</v>
      </c>
    </row>
    <row r="1323" spans="1:16" x14ac:dyDescent="0.25">
      <c r="A1323" t="s">
        <v>15</v>
      </c>
      <c r="B1323" t="s">
        <v>1690</v>
      </c>
      <c r="C1323" t="s">
        <v>17</v>
      </c>
      <c r="D1323" t="s">
        <v>1706</v>
      </c>
      <c r="E1323" t="s">
        <v>19</v>
      </c>
      <c r="F1323" t="s">
        <v>1707</v>
      </c>
      <c r="G1323" s="1">
        <f>45883</f>
        <v>45883</v>
      </c>
      <c r="H1323" t="s">
        <v>51</v>
      </c>
      <c r="I1323" s="2">
        <v>197</v>
      </c>
      <c r="J1323" s="2">
        <v>46</v>
      </c>
      <c r="K1323" s="2">
        <v>151</v>
      </c>
      <c r="L1323" s="2">
        <v>76.650000000000006</v>
      </c>
      <c r="M1323" s="2">
        <v>197</v>
      </c>
      <c r="N1323" s="2">
        <v>46</v>
      </c>
      <c r="O1323" s="2">
        <v>142</v>
      </c>
      <c r="P1323" s="2">
        <v>76.650000000000006</v>
      </c>
    </row>
    <row r="1324" spans="1:16" x14ac:dyDescent="0.25">
      <c r="A1324" t="s">
        <v>15</v>
      </c>
      <c r="B1324" t="s">
        <v>1690</v>
      </c>
      <c r="C1324" t="s">
        <v>17</v>
      </c>
      <c r="D1324" t="s">
        <v>1708</v>
      </c>
      <c r="E1324" t="s">
        <v>19</v>
      </c>
      <c r="F1324" t="s">
        <v>402</v>
      </c>
      <c r="G1324" s="1">
        <f>45887</f>
        <v>45887</v>
      </c>
      <c r="H1324" t="s">
        <v>51</v>
      </c>
      <c r="I1324" s="2">
        <v>2015.1</v>
      </c>
      <c r="J1324" s="2">
        <v>1305</v>
      </c>
      <c r="K1324" s="2">
        <v>710.1</v>
      </c>
      <c r="L1324" s="2">
        <v>35.24</v>
      </c>
      <c r="M1324" s="2">
        <v>2015.1</v>
      </c>
      <c r="N1324" s="2">
        <v>1305</v>
      </c>
      <c r="O1324" s="2">
        <v>428.1</v>
      </c>
      <c r="P1324" s="2">
        <v>35.24</v>
      </c>
    </row>
    <row r="1325" spans="1:16" x14ac:dyDescent="0.25">
      <c r="A1325" t="s">
        <v>15</v>
      </c>
      <c r="B1325" t="s">
        <v>1690</v>
      </c>
      <c r="C1325" t="s">
        <v>17</v>
      </c>
      <c r="D1325" t="s">
        <v>1709</v>
      </c>
      <c r="E1325" t="s">
        <v>19</v>
      </c>
      <c r="F1325" t="s">
        <v>181</v>
      </c>
      <c r="G1325" s="1">
        <f>45889</f>
        <v>45889</v>
      </c>
      <c r="H1325" t="s">
        <v>51</v>
      </c>
      <c r="I1325" s="2">
        <v>450.6</v>
      </c>
      <c r="J1325" s="2">
        <v>321.62</v>
      </c>
      <c r="K1325" s="2">
        <v>128.97999999999999</v>
      </c>
      <c r="L1325" s="2">
        <v>28.62</v>
      </c>
      <c r="M1325" s="2">
        <v>450.6</v>
      </c>
      <c r="N1325" s="2">
        <v>321.62</v>
      </c>
      <c r="O1325" s="2">
        <v>77.48</v>
      </c>
      <c r="P1325" s="2">
        <v>28.62</v>
      </c>
    </row>
    <row r="1326" spans="1:16" x14ac:dyDescent="0.25">
      <c r="A1326" t="s">
        <v>15</v>
      </c>
      <c r="B1326" t="s">
        <v>1690</v>
      </c>
      <c r="C1326" t="s">
        <v>17</v>
      </c>
      <c r="D1326" t="s">
        <v>1710</v>
      </c>
      <c r="E1326" t="s">
        <v>19</v>
      </c>
      <c r="F1326" t="s">
        <v>1707</v>
      </c>
      <c r="G1326" s="1">
        <f>45890</f>
        <v>45890</v>
      </c>
      <c r="H1326" t="s">
        <v>51</v>
      </c>
      <c r="I1326" s="2">
        <v>1457.95</v>
      </c>
      <c r="J1326" s="2">
        <v>985.44</v>
      </c>
      <c r="K1326" s="2">
        <v>472.51</v>
      </c>
      <c r="L1326" s="2">
        <v>32.409999999999997</v>
      </c>
      <c r="M1326" s="2">
        <v>1457.95</v>
      </c>
      <c r="N1326" s="2">
        <v>985.44</v>
      </c>
      <c r="O1326" s="2">
        <v>463.51</v>
      </c>
      <c r="P1326" s="2">
        <v>32.409999999999997</v>
      </c>
    </row>
    <row r="1327" spans="1:16" x14ac:dyDescent="0.25">
      <c r="A1327" t="s">
        <v>15</v>
      </c>
      <c r="B1327" t="s">
        <v>1690</v>
      </c>
      <c r="C1327" t="s">
        <v>17</v>
      </c>
      <c r="D1327" t="s">
        <v>1711</v>
      </c>
      <c r="E1327" t="s">
        <v>19</v>
      </c>
      <c r="F1327" t="s">
        <v>1707</v>
      </c>
      <c r="G1327" s="1">
        <f>45891</f>
        <v>45891</v>
      </c>
      <c r="H1327" t="s">
        <v>51</v>
      </c>
      <c r="I1327" s="2">
        <v>1287.5</v>
      </c>
      <c r="J1327" s="2">
        <v>885.8</v>
      </c>
      <c r="K1327" s="2">
        <v>401.7</v>
      </c>
      <c r="L1327" s="2">
        <v>31.2</v>
      </c>
      <c r="M1327" s="2">
        <v>1287.5</v>
      </c>
      <c r="N1327" s="2">
        <v>885.8</v>
      </c>
      <c r="O1327" s="2">
        <v>393.8</v>
      </c>
      <c r="P1327" s="2">
        <v>31.2</v>
      </c>
    </row>
    <row r="1328" spans="1:16" x14ac:dyDescent="0.25">
      <c r="A1328" t="s">
        <v>15</v>
      </c>
      <c r="B1328" t="s">
        <v>1690</v>
      </c>
      <c r="C1328" t="s">
        <v>17</v>
      </c>
      <c r="D1328" t="s">
        <v>1712</v>
      </c>
      <c r="E1328" t="s">
        <v>19</v>
      </c>
      <c r="F1328" t="s">
        <v>491</v>
      </c>
      <c r="G1328" s="1">
        <f>45897</f>
        <v>45897</v>
      </c>
      <c r="H1328" t="s">
        <v>51</v>
      </c>
      <c r="I1328" s="2">
        <v>2059.9</v>
      </c>
      <c r="J1328" s="2">
        <v>1394.42</v>
      </c>
      <c r="K1328" s="2">
        <v>665.48</v>
      </c>
      <c r="L1328" s="2">
        <v>32.31</v>
      </c>
      <c r="M1328" s="2">
        <v>2059.9</v>
      </c>
      <c r="N1328" s="2">
        <v>1394.42</v>
      </c>
      <c r="O1328" s="2">
        <v>623.48</v>
      </c>
      <c r="P1328" s="2">
        <v>32.31</v>
      </c>
    </row>
    <row r="1329" spans="1:16" x14ac:dyDescent="0.25">
      <c r="A1329" t="s">
        <v>15</v>
      </c>
      <c r="B1329" t="s">
        <v>1690</v>
      </c>
      <c r="C1329" t="s">
        <v>17</v>
      </c>
      <c r="D1329" t="s">
        <v>1713</v>
      </c>
      <c r="E1329" t="s">
        <v>19</v>
      </c>
      <c r="F1329" t="s">
        <v>404</v>
      </c>
      <c r="G1329" s="1">
        <f>45898</f>
        <v>45898</v>
      </c>
      <c r="H1329" t="s">
        <v>51</v>
      </c>
      <c r="I1329" s="2">
        <v>643.20000000000005</v>
      </c>
      <c r="J1329" s="2">
        <v>420.02</v>
      </c>
      <c r="K1329" s="2">
        <v>223.18</v>
      </c>
      <c r="L1329" s="2">
        <v>34.700000000000003</v>
      </c>
      <c r="M1329" s="2">
        <v>643.20000000000005</v>
      </c>
      <c r="N1329" s="2">
        <v>420.03</v>
      </c>
      <c r="O1329" s="2">
        <v>195.17</v>
      </c>
      <c r="P1329" s="2">
        <v>34.700000000000003</v>
      </c>
    </row>
    <row r="1330" spans="1:16" x14ac:dyDescent="0.25">
      <c r="A1330" t="s">
        <v>15</v>
      </c>
      <c r="B1330" t="s">
        <v>1690</v>
      </c>
      <c r="C1330" t="s">
        <v>17</v>
      </c>
      <c r="D1330" t="s">
        <v>1714</v>
      </c>
      <c r="E1330" t="s">
        <v>19</v>
      </c>
      <c r="F1330" t="s">
        <v>176</v>
      </c>
      <c r="G1330" s="1">
        <f>45898</f>
        <v>45898</v>
      </c>
      <c r="H1330" t="s">
        <v>51</v>
      </c>
      <c r="I1330" s="2">
        <v>483.96</v>
      </c>
      <c r="J1330" s="2">
        <v>332.22</v>
      </c>
      <c r="K1330" s="2">
        <v>151.74</v>
      </c>
      <c r="L1330" s="2">
        <v>31.35</v>
      </c>
      <c r="M1330" s="2">
        <v>483.96</v>
      </c>
      <c r="N1330" s="2">
        <v>332.25</v>
      </c>
      <c r="O1330" s="2">
        <v>136.37</v>
      </c>
      <c r="P1330" s="2">
        <v>31.35</v>
      </c>
    </row>
    <row r="1331" spans="1:16" x14ac:dyDescent="0.25">
      <c r="A1331" t="s">
        <v>15</v>
      </c>
      <c r="B1331" t="s">
        <v>1690</v>
      </c>
      <c r="C1331" t="s">
        <v>58</v>
      </c>
      <c r="D1331" t="s">
        <v>1715</v>
      </c>
      <c r="E1331" t="s">
        <v>19</v>
      </c>
      <c r="F1331" t="s">
        <v>478</v>
      </c>
      <c r="G1331" s="1">
        <f>45870</f>
        <v>45870</v>
      </c>
      <c r="H1331" t="s">
        <v>51</v>
      </c>
      <c r="I1331" s="2">
        <v>366.88</v>
      </c>
      <c r="J1331" s="2">
        <v>216.96</v>
      </c>
      <c r="K1331" s="2">
        <v>149.91999999999999</v>
      </c>
      <c r="L1331" s="2">
        <v>40.86</v>
      </c>
      <c r="M1331" s="2">
        <v>366.88</v>
      </c>
      <c r="N1331" s="2">
        <v>216.96</v>
      </c>
      <c r="O1331" s="2">
        <v>149.91999999999999</v>
      </c>
      <c r="P1331" s="2">
        <v>40.86</v>
      </c>
    </row>
    <row r="1332" spans="1:16" x14ac:dyDescent="0.25">
      <c r="A1332" t="s">
        <v>15</v>
      </c>
      <c r="B1332" t="s">
        <v>1690</v>
      </c>
      <c r="C1332" t="s">
        <v>58</v>
      </c>
      <c r="D1332" t="s">
        <v>1716</v>
      </c>
      <c r="E1332" t="s">
        <v>19</v>
      </c>
      <c r="F1332" t="s">
        <v>123</v>
      </c>
      <c r="G1332" s="1">
        <f>45873</f>
        <v>45873</v>
      </c>
      <c r="H1332" t="s">
        <v>51</v>
      </c>
      <c r="I1332" s="2">
        <v>202.2</v>
      </c>
      <c r="J1332" s="2">
        <v>118</v>
      </c>
      <c r="K1332" s="2">
        <v>84.2</v>
      </c>
      <c r="L1332" s="2">
        <v>41.64</v>
      </c>
      <c r="M1332" s="2">
        <v>202.2</v>
      </c>
      <c r="N1332" s="2">
        <v>118</v>
      </c>
      <c r="O1332" s="2">
        <v>73.2</v>
      </c>
      <c r="P1332" s="2">
        <v>41.64</v>
      </c>
    </row>
    <row r="1333" spans="1:16" x14ac:dyDescent="0.25">
      <c r="A1333" t="s">
        <v>15</v>
      </c>
      <c r="B1333" t="s">
        <v>1690</v>
      </c>
      <c r="C1333" t="s">
        <v>58</v>
      </c>
      <c r="D1333" t="s">
        <v>1717</v>
      </c>
      <c r="E1333" t="s">
        <v>19</v>
      </c>
      <c r="F1333" t="s">
        <v>67</v>
      </c>
      <c r="G1333" s="1">
        <f>45874</f>
        <v>45874</v>
      </c>
      <c r="H1333" t="s">
        <v>51</v>
      </c>
      <c r="I1333" s="2">
        <v>291.37</v>
      </c>
      <c r="J1333" s="2">
        <v>150.04</v>
      </c>
      <c r="K1333" s="2">
        <v>141.33000000000001</v>
      </c>
      <c r="L1333" s="2">
        <v>48.51</v>
      </c>
      <c r="M1333" s="2">
        <v>291.37</v>
      </c>
      <c r="N1333" s="2">
        <v>147.97</v>
      </c>
      <c r="O1333" s="2">
        <v>72.400000000000006</v>
      </c>
      <c r="P1333" s="2">
        <v>49.22</v>
      </c>
    </row>
    <row r="1334" spans="1:16" x14ac:dyDescent="0.25">
      <c r="A1334" t="s">
        <v>15</v>
      </c>
      <c r="B1334" t="s">
        <v>1690</v>
      </c>
      <c r="C1334" t="s">
        <v>58</v>
      </c>
      <c r="D1334" t="s">
        <v>1718</v>
      </c>
      <c r="E1334" t="s">
        <v>19</v>
      </c>
      <c r="F1334" t="s">
        <v>702</v>
      </c>
      <c r="G1334" s="1">
        <f>45874</f>
        <v>45874</v>
      </c>
      <c r="H1334" t="s">
        <v>51</v>
      </c>
      <c r="I1334" s="2">
        <v>578</v>
      </c>
      <c r="J1334" s="2">
        <v>370.44</v>
      </c>
      <c r="K1334" s="2">
        <v>207.56</v>
      </c>
      <c r="L1334" s="2">
        <v>35.909999999999997</v>
      </c>
      <c r="M1334" s="2">
        <v>578</v>
      </c>
      <c r="N1334" s="2">
        <v>370.44</v>
      </c>
      <c r="O1334" s="2">
        <v>171.56</v>
      </c>
      <c r="P1334" s="2">
        <v>35.909999999999997</v>
      </c>
    </row>
    <row r="1335" spans="1:16" x14ac:dyDescent="0.25">
      <c r="A1335" t="s">
        <v>15</v>
      </c>
      <c r="B1335" t="s">
        <v>1690</v>
      </c>
      <c r="C1335" t="s">
        <v>58</v>
      </c>
      <c r="D1335" t="s">
        <v>1719</v>
      </c>
      <c r="E1335" t="s">
        <v>19</v>
      </c>
      <c r="F1335" t="s">
        <v>463</v>
      </c>
      <c r="G1335" s="1">
        <f>45874</f>
        <v>45874</v>
      </c>
      <c r="H1335" t="s">
        <v>51</v>
      </c>
      <c r="I1335" s="2">
        <v>1104.9000000000001</v>
      </c>
      <c r="J1335" s="2">
        <v>673.53</v>
      </c>
      <c r="K1335" s="2">
        <v>431.37</v>
      </c>
      <c r="L1335" s="2">
        <v>39.04</v>
      </c>
      <c r="M1335" s="2">
        <v>1104.9000000000001</v>
      </c>
      <c r="N1335" s="2">
        <v>673.53</v>
      </c>
      <c r="O1335" s="2">
        <v>381.37</v>
      </c>
      <c r="P1335" s="2">
        <v>39.04</v>
      </c>
    </row>
    <row r="1336" spans="1:16" x14ac:dyDescent="0.25">
      <c r="A1336" t="s">
        <v>15</v>
      </c>
      <c r="B1336" t="s">
        <v>1690</v>
      </c>
      <c r="C1336" t="s">
        <v>58</v>
      </c>
      <c r="D1336" t="s">
        <v>1720</v>
      </c>
      <c r="E1336" t="s">
        <v>47</v>
      </c>
      <c r="F1336" t="s">
        <v>69</v>
      </c>
      <c r="G1336" s="1">
        <f>45875</f>
        <v>45875</v>
      </c>
      <c r="H1336" t="s">
        <v>70</v>
      </c>
      <c r="I1336" s="2">
        <v>0</v>
      </c>
      <c r="J1336" s="2">
        <v>0</v>
      </c>
      <c r="K1336" s="2">
        <v>0</v>
      </c>
      <c r="L1336" s="2">
        <v>0</v>
      </c>
      <c r="M1336" s="2">
        <v>212.76</v>
      </c>
      <c r="N1336" s="2">
        <v>179.3</v>
      </c>
      <c r="O1336" s="2">
        <v>33.46</v>
      </c>
      <c r="P1336" s="2">
        <v>15.73</v>
      </c>
    </row>
    <row r="1337" spans="1:16" x14ac:dyDescent="0.25">
      <c r="A1337" t="s">
        <v>15</v>
      </c>
      <c r="B1337" t="s">
        <v>1690</v>
      </c>
      <c r="C1337" t="s">
        <v>58</v>
      </c>
      <c r="D1337" t="s">
        <v>1721</v>
      </c>
      <c r="E1337" t="s">
        <v>19</v>
      </c>
      <c r="F1337" t="s">
        <v>64</v>
      </c>
      <c r="G1337" s="1">
        <f>45875</f>
        <v>45875</v>
      </c>
      <c r="H1337" t="s">
        <v>51</v>
      </c>
      <c r="I1337" s="2">
        <v>812.8</v>
      </c>
      <c r="J1337" s="2">
        <v>568.21</v>
      </c>
      <c r="K1337" s="2">
        <v>244.59</v>
      </c>
      <c r="L1337" s="2">
        <v>30.09</v>
      </c>
      <c r="M1337" s="2">
        <v>812.8</v>
      </c>
      <c r="N1337" s="2">
        <v>568.21</v>
      </c>
      <c r="O1337" s="2">
        <v>160.59</v>
      </c>
      <c r="P1337" s="2">
        <v>30.09</v>
      </c>
    </row>
    <row r="1338" spans="1:16" x14ac:dyDescent="0.25">
      <c r="A1338" t="s">
        <v>15</v>
      </c>
      <c r="B1338" t="s">
        <v>1690</v>
      </c>
      <c r="C1338" t="s">
        <v>58</v>
      </c>
      <c r="D1338" t="s">
        <v>1722</v>
      </c>
      <c r="E1338" t="s">
        <v>19</v>
      </c>
      <c r="F1338" t="s">
        <v>89</v>
      </c>
      <c r="G1338" s="1">
        <f>45875</f>
        <v>45875</v>
      </c>
      <c r="H1338" t="s">
        <v>51</v>
      </c>
      <c r="I1338" s="2">
        <v>9004.5</v>
      </c>
      <c r="J1338" s="2">
        <v>5906.49</v>
      </c>
      <c r="K1338" s="2">
        <v>3098.01</v>
      </c>
      <c r="L1338" s="2">
        <v>34.409999999999997</v>
      </c>
      <c r="M1338" s="2">
        <v>9004.5</v>
      </c>
      <c r="N1338" s="2">
        <v>5906.48</v>
      </c>
      <c r="O1338" s="2">
        <v>3045.34</v>
      </c>
      <c r="P1338" s="2">
        <v>34.409999999999997</v>
      </c>
    </row>
    <row r="1339" spans="1:16" x14ac:dyDescent="0.25">
      <c r="A1339" t="s">
        <v>15</v>
      </c>
      <c r="B1339" t="s">
        <v>1690</v>
      </c>
      <c r="C1339" t="s">
        <v>58</v>
      </c>
      <c r="D1339" t="s">
        <v>1723</v>
      </c>
      <c r="E1339" t="s">
        <v>19</v>
      </c>
      <c r="F1339" t="s">
        <v>755</v>
      </c>
      <c r="G1339" s="1">
        <f>45876</f>
        <v>45876</v>
      </c>
      <c r="H1339" t="s">
        <v>51</v>
      </c>
      <c r="I1339" s="2">
        <v>178</v>
      </c>
      <c r="J1339" s="2">
        <v>101.87</v>
      </c>
      <c r="K1339" s="2">
        <v>76.13</v>
      </c>
      <c r="L1339" s="2">
        <v>42.77</v>
      </c>
      <c r="M1339" s="2">
        <v>178</v>
      </c>
      <c r="N1339" s="2">
        <v>98.45</v>
      </c>
      <c r="O1339" s="2">
        <v>70.55</v>
      </c>
      <c r="P1339" s="2">
        <v>44.69</v>
      </c>
    </row>
    <row r="1340" spans="1:16" x14ac:dyDescent="0.25">
      <c r="A1340" t="s">
        <v>15</v>
      </c>
      <c r="B1340" t="s">
        <v>1690</v>
      </c>
      <c r="C1340" t="s">
        <v>58</v>
      </c>
      <c r="D1340" t="s">
        <v>1724</v>
      </c>
      <c r="E1340" t="s">
        <v>19</v>
      </c>
      <c r="F1340" t="s">
        <v>93</v>
      </c>
      <c r="G1340" s="1">
        <f>45876</f>
        <v>45876</v>
      </c>
      <c r="H1340" t="s">
        <v>51</v>
      </c>
      <c r="I1340" s="2">
        <v>1242.02</v>
      </c>
      <c r="J1340" s="2">
        <v>717.34</v>
      </c>
      <c r="K1340" s="2">
        <v>524.67999999999995</v>
      </c>
      <c r="L1340" s="2">
        <v>42.24</v>
      </c>
      <c r="M1340" s="2">
        <v>1242.02</v>
      </c>
      <c r="N1340" s="2">
        <v>720.42</v>
      </c>
      <c r="O1340" s="2">
        <v>455.59</v>
      </c>
      <c r="P1340" s="2">
        <v>42</v>
      </c>
    </row>
    <row r="1341" spans="1:16" x14ac:dyDescent="0.25">
      <c r="A1341" t="s">
        <v>15</v>
      </c>
      <c r="B1341" t="s">
        <v>1690</v>
      </c>
      <c r="C1341" t="s">
        <v>58</v>
      </c>
      <c r="D1341" t="s">
        <v>1725</v>
      </c>
      <c r="E1341" t="s">
        <v>19</v>
      </c>
      <c r="F1341" t="s">
        <v>724</v>
      </c>
      <c r="G1341" s="1">
        <f>45876</f>
        <v>45876</v>
      </c>
      <c r="H1341" t="s">
        <v>51</v>
      </c>
      <c r="I1341" s="2">
        <v>2406.1999999999998</v>
      </c>
      <c r="J1341" s="2">
        <v>1649.2</v>
      </c>
      <c r="K1341" s="2">
        <v>757</v>
      </c>
      <c r="L1341" s="2">
        <v>31.46</v>
      </c>
      <c r="M1341" s="2">
        <v>2406.1999999999998</v>
      </c>
      <c r="N1341" s="2">
        <v>1649.2</v>
      </c>
      <c r="O1341" s="2">
        <v>704</v>
      </c>
      <c r="P1341" s="2">
        <v>31.46</v>
      </c>
    </row>
    <row r="1342" spans="1:16" x14ac:dyDescent="0.25">
      <c r="A1342" t="s">
        <v>15</v>
      </c>
      <c r="B1342" t="s">
        <v>1690</v>
      </c>
      <c r="C1342" t="s">
        <v>58</v>
      </c>
      <c r="D1342" t="s">
        <v>1726</v>
      </c>
      <c r="E1342" t="s">
        <v>19</v>
      </c>
      <c r="F1342" t="s">
        <v>64</v>
      </c>
      <c r="G1342" s="1">
        <f>45880</f>
        <v>45880</v>
      </c>
      <c r="H1342" t="s">
        <v>56</v>
      </c>
      <c r="I1342" s="2">
        <v>1507.64</v>
      </c>
      <c r="J1342" s="2">
        <v>1061.9000000000001</v>
      </c>
      <c r="K1342" s="2">
        <v>445.74</v>
      </c>
      <c r="L1342" s="2">
        <v>29.57</v>
      </c>
      <c r="M1342" s="2">
        <v>1507.64</v>
      </c>
      <c r="N1342" s="2">
        <v>1042.77</v>
      </c>
      <c r="O1342" s="2">
        <v>444.05</v>
      </c>
      <c r="P1342" s="2">
        <v>30.83</v>
      </c>
    </row>
    <row r="1343" spans="1:16" x14ac:dyDescent="0.25">
      <c r="A1343" t="s">
        <v>15</v>
      </c>
      <c r="B1343" t="s">
        <v>1690</v>
      </c>
      <c r="C1343" t="s">
        <v>58</v>
      </c>
      <c r="D1343" t="s">
        <v>1727</v>
      </c>
      <c r="E1343" t="s">
        <v>47</v>
      </c>
      <c r="F1343" t="s">
        <v>69</v>
      </c>
      <c r="G1343" s="1">
        <f>45882</f>
        <v>45882</v>
      </c>
      <c r="H1343" t="s">
        <v>70</v>
      </c>
      <c r="I1343" s="2">
        <v>0</v>
      </c>
      <c r="J1343" s="2">
        <v>0</v>
      </c>
      <c r="K1343" s="2">
        <v>0</v>
      </c>
      <c r="L1343" s="2">
        <v>0</v>
      </c>
      <c r="M1343" s="2">
        <v>18.829999999999998</v>
      </c>
      <c r="N1343" s="2">
        <v>15.81</v>
      </c>
      <c r="O1343" s="2">
        <v>3.02</v>
      </c>
      <c r="P1343" s="2">
        <v>16.04</v>
      </c>
    </row>
    <row r="1344" spans="1:16" x14ac:dyDescent="0.25">
      <c r="A1344" t="s">
        <v>15</v>
      </c>
      <c r="B1344" t="s">
        <v>1690</v>
      </c>
      <c r="C1344" t="s">
        <v>58</v>
      </c>
      <c r="D1344" t="s">
        <v>1728</v>
      </c>
      <c r="E1344" t="s">
        <v>47</v>
      </c>
      <c r="F1344" t="s">
        <v>69</v>
      </c>
      <c r="G1344" s="1">
        <f>45882</f>
        <v>45882</v>
      </c>
      <c r="H1344" t="s">
        <v>70</v>
      </c>
      <c r="I1344" s="2">
        <v>0</v>
      </c>
      <c r="J1344" s="2">
        <v>0</v>
      </c>
      <c r="K1344" s="2">
        <v>0</v>
      </c>
      <c r="L1344" s="2">
        <v>0</v>
      </c>
      <c r="M1344" s="2">
        <v>195.07</v>
      </c>
      <c r="N1344" s="2">
        <v>165.21</v>
      </c>
      <c r="O1344" s="2">
        <v>29.86</v>
      </c>
      <c r="P1344" s="2">
        <v>15.31</v>
      </c>
    </row>
    <row r="1345" spans="1:16" x14ac:dyDescent="0.25">
      <c r="A1345" t="s">
        <v>15</v>
      </c>
      <c r="B1345" t="s">
        <v>1690</v>
      </c>
      <c r="C1345" t="s">
        <v>58</v>
      </c>
      <c r="D1345" t="s">
        <v>1729</v>
      </c>
      <c r="E1345" t="s">
        <v>47</v>
      </c>
      <c r="F1345" t="s">
        <v>69</v>
      </c>
      <c r="G1345" s="1">
        <f>45882</f>
        <v>45882</v>
      </c>
      <c r="H1345" t="s">
        <v>70</v>
      </c>
      <c r="I1345" s="2">
        <v>0</v>
      </c>
      <c r="J1345" s="2">
        <v>0</v>
      </c>
      <c r="K1345" s="2">
        <v>0</v>
      </c>
      <c r="L1345" s="2">
        <v>0</v>
      </c>
      <c r="M1345" s="2">
        <v>107.41</v>
      </c>
      <c r="N1345" s="2">
        <v>90.88</v>
      </c>
      <c r="O1345" s="2">
        <v>16.53</v>
      </c>
      <c r="P1345" s="2">
        <v>15.39</v>
      </c>
    </row>
    <row r="1346" spans="1:16" x14ac:dyDescent="0.25">
      <c r="A1346" t="s">
        <v>15</v>
      </c>
      <c r="B1346" t="s">
        <v>1690</v>
      </c>
      <c r="C1346" t="s">
        <v>58</v>
      </c>
      <c r="D1346" t="s">
        <v>1730</v>
      </c>
      <c r="E1346" t="s">
        <v>19</v>
      </c>
      <c r="F1346" t="s">
        <v>67</v>
      </c>
      <c r="G1346" s="1">
        <f>45882</f>
        <v>45882</v>
      </c>
      <c r="H1346" t="s">
        <v>56</v>
      </c>
      <c r="I1346" s="2">
        <v>472.1</v>
      </c>
      <c r="J1346" s="2">
        <v>318.61</v>
      </c>
      <c r="K1346" s="2">
        <v>153.49</v>
      </c>
      <c r="L1346" s="2">
        <v>32.51</v>
      </c>
      <c r="M1346" s="2">
        <v>472.1</v>
      </c>
      <c r="N1346" s="2">
        <v>317.70999999999998</v>
      </c>
      <c r="O1346" s="2">
        <v>64.39</v>
      </c>
      <c r="P1346" s="2">
        <v>32.700000000000003</v>
      </c>
    </row>
    <row r="1347" spans="1:16" x14ac:dyDescent="0.25">
      <c r="A1347" t="s">
        <v>15</v>
      </c>
      <c r="B1347" t="s">
        <v>1690</v>
      </c>
      <c r="C1347" t="s">
        <v>58</v>
      </c>
      <c r="D1347" t="s">
        <v>1731</v>
      </c>
      <c r="E1347" t="s">
        <v>47</v>
      </c>
      <c r="F1347" t="s">
        <v>455</v>
      </c>
      <c r="G1347" s="1">
        <f>45883</f>
        <v>45883</v>
      </c>
      <c r="H1347" t="s">
        <v>70</v>
      </c>
      <c r="I1347" s="2">
        <v>0</v>
      </c>
      <c r="J1347" s="2">
        <v>0</v>
      </c>
      <c r="K1347" s="2">
        <v>0</v>
      </c>
      <c r="L1347" s="2">
        <v>0</v>
      </c>
      <c r="M1347" s="2">
        <v>350.85</v>
      </c>
      <c r="N1347" s="2">
        <v>140.29</v>
      </c>
      <c r="O1347" s="2">
        <v>210.56</v>
      </c>
      <c r="P1347" s="2">
        <v>60.01</v>
      </c>
    </row>
    <row r="1348" spans="1:16" x14ac:dyDescent="0.25">
      <c r="A1348" t="s">
        <v>15</v>
      </c>
      <c r="B1348" t="s">
        <v>1690</v>
      </c>
      <c r="C1348" t="s">
        <v>58</v>
      </c>
      <c r="D1348" t="s">
        <v>1732</v>
      </c>
      <c r="E1348" t="s">
        <v>19</v>
      </c>
      <c r="F1348" t="s">
        <v>67</v>
      </c>
      <c r="G1348" s="1">
        <f>45889</f>
        <v>45889</v>
      </c>
      <c r="H1348" t="s">
        <v>56</v>
      </c>
      <c r="I1348" s="2">
        <v>407</v>
      </c>
      <c r="J1348" s="2">
        <v>269.8</v>
      </c>
      <c r="K1348" s="2">
        <v>137.19999999999999</v>
      </c>
      <c r="L1348" s="2">
        <v>33.71</v>
      </c>
      <c r="M1348" s="2">
        <v>407</v>
      </c>
      <c r="N1348" s="2">
        <v>269.8</v>
      </c>
      <c r="O1348" s="2">
        <v>82.2</v>
      </c>
      <c r="P1348" s="2">
        <v>33.71</v>
      </c>
    </row>
    <row r="1349" spans="1:16" x14ac:dyDescent="0.25">
      <c r="A1349" t="s">
        <v>15</v>
      </c>
      <c r="B1349" t="s">
        <v>1690</v>
      </c>
      <c r="C1349" t="s">
        <v>58</v>
      </c>
      <c r="D1349" t="s">
        <v>1733</v>
      </c>
      <c r="E1349" t="s">
        <v>19</v>
      </c>
      <c r="F1349" t="s">
        <v>1734</v>
      </c>
      <c r="G1349" s="1">
        <f>45889</f>
        <v>45889</v>
      </c>
      <c r="H1349" t="s">
        <v>56</v>
      </c>
      <c r="I1349" s="2">
        <v>851</v>
      </c>
      <c r="J1349" s="2">
        <v>580.79</v>
      </c>
      <c r="K1349" s="2">
        <v>270.20999999999998</v>
      </c>
      <c r="L1349" s="2">
        <v>31.75</v>
      </c>
      <c r="M1349" s="2">
        <v>851</v>
      </c>
      <c r="N1349" s="2">
        <v>580.79</v>
      </c>
      <c r="O1349" s="2">
        <v>211.21</v>
      </c>
      <c r="P1349" s="2">
        <v>31.75</v>
      </c>
    </row>
    <row r="1350" spans="1:16" x14ac:dyDescent="0.25">
      <c r="A1350" t="s">
        <v>15</v>
      </c>
      <c r="B1350" t="s">
        <v>1690</v>
      </c>
      <c r="C1350" t="s">
        <v>58</v>
      </c>
      <c r="D1350" t="s">
        <v>1735</v>
      </c>
      <c r="E1350" t="s">
        <v>19</v>
      </c>
      <c r="F1350" t="s">
        <v>465</v>
      </c>
      <c r="G1350" s="1">
        <f>45890</f>
        <v>45890</v>
      </c>
      <c r="H1350" t="s">
        <v>56</v>
      </c>
      <c r="I1350" s="2">
        <v>519.5</v>
      </c>
      <c r="J1350" s="2">
        <v>370.41</v>
      </c>
      <c r="K1350" s="2">
        <v>149.09</v>
      </c>
      <c r="L1350" s="2">
        <v>28.7</v>
      </c>
      <c r="M1350" s="2">
        <v>519.5</v>
      </c>
      <c r="N1350" s="2">
        <v>370.41</v>
      </c>
      <c r="O1350" s="2">
        <v>136.87</v>
      </c>
      <c r="P1350" s="2">
        <v>28.7</v>
      </c>
    </row>
    <row r="1351" spans="1:16" x14ac:dyDescent="0.25">
      <c r="A1351" t="s">
        <v>15</v>
      </c>
      <c r="B1351" t="s">
        <v>1690</v>
      </c>
      <c r="C1351" t="s">
        <v>58</v>
      </c>
      <c r="D1351" t="s">
        <v>1736</v>
      </c>
      <c r="E1351" t="s">
        <v>19</v>
      </c>
      <c r="F1351" t="s">
        <v>724</v>
      </c>
      <c r="G1351" s="1">
        <f>45890</f>
        <v>45890</v>
      </c>
      <c r="H1351" t="s">
        <v>56</v>
      </c>
      <c r="I1351" s="2">
        <v>815.9</v>
      </c>
      <c r="J1351" s="2">
        <v>548.82000000000005</v>
      </c>
      <c r="K1351" s="2">
        <v>267.08</v>
      </c>
      <c r="L1351" s="2">
        <v>32.729999999999997</v>
      </c>
      <c r="M1351" s="2">
        <v>815.9</v>
      </c>
      <c r="N1351" s="2">
        <v>548.80999999999995</v>
      </c>
      <c r="O1351" s="2">
        <v>258.08999999999997</v>
      </c>
      <c r="P1351" s="2">
        <v>32.74</v>
      </c>
    </row>
    <row r="1352" spans="1:16" x14ac:dyDescent="0.25">
      <c r="A1352" t="s">
        <v>15</v>
      </c>
      <c r="B1352" t="s">
        <v>1690</v>
      </c>
      <c r="C1352" t="s">
        <v>58</v>
      </c>
      <c r="D1352" t="s">
        <v>1737</v>
      </c>
      <c r="E1352" t="s">
        <v>47</v>
      </c>
      <c r="F1352" t="s">
        <v>408</v>
      </c>
      <c r="G1352" s="1">
        <f>45895</f>
        <v>45895</v>
      </c>
      <c r="H1352" t="s">
        <v>56</v>
      </c>
      <c r="I1352" s="2">
        <v>445.36</v>
      </c>
      <c r="J1352" s="2">
        <v>294.19</v>
      </c>
      <c r="K1352" s="2">
        <v>151.16999999999999</v>
      </c>
      <c r="L1352" s="2">
        <v>33.94</v>
      </c>
      <c r="M1352" s="2">
        <v>445.36</v>
      </c>
      <c r="N1352" s="2">
        <v>293.89</v>
      </c>
      <c r="O1352" s="2">
        <v>81.47</v>
      </c>
      <c r="P1352" s="2">
        <v>34.01</v>
      </c>
    </row>
    <row r="1353" spans="1:16" x14ac:dyDescent="0.25">
      <c r="A1353" t="s">
        <v>15</v>
      </c>
      <c r="B1353" t="s">
        <v>1690</v>
      </c>
      <c r="C1353" t="s">
        <v>58</v>
      </c>
      <c r="D1353" t="s">
        <v>1738</v>
      </c>
      <c r="E1353" t="s">
        <v>19</v>
      </c>
      <c r="F1353" t="s">
        <v>480</v>
      </c>
      <c r="G1353" s="1">
        <f>45897</f>
        <v>45897</v>
      </c>
      <c r="H1353" t="s">
        <v>56</v>
      </c>
      <c r="I1353" s="2">
        <v>353.4</v>
      </c>
      <c r="J1353" s="2">
        <v>229</v>
      </c>
      <c r="K1353" s="2">
        <v>124.4</v>
      </c>
      <c r="L1353" s="2">
        <v>35.200000000000003</v>
      </c>
      <c r="M1353" s="2">
        <v>353.4</v>
      </c>
      <c r="N1353" s="2">
        <v>229</v>
      </c>
      <c r="O1353" s="2">
        <v>115.4</v>
      </c>
      <c r="P1353" s="2">
        <v>35.200000000000003</v>
      </c>
    </row>
    <row r="1354" spans="1:16" x14ac:dyDescent="0.25">
      <c r="A1354" t="s">
        <v>15</v>
      </c>
      <c r="B1354" t="s">
        <v>1690</v>
      </c>
      <c r="C1354" t="s">
        <v>58</v>
      </c>
      <c r="D1354" t="s">
        <v>1739</v>
      </c>
      <c r="E1354" t="s">
        <v>47</v>
      </c>
      <c r="F1354" t="s">
        <v>69</v>
      </c>
      <c r="G1354" s="1">
        <f>45898</f>
        <v>45898</v>
      </c>
      <c r="H1354" t="s">
        <v>70</v>
      </c>
      <c r="I1354" s="2">
        <v>0</v>
      </c>
      <c r="J1354" s="2">
        <v>0</v>
      </c>
      <c r="K1354" s="2">
        <v>0</v>
      </c>
      <c r="L1354" s="2">
        <v>0</v>
      </c>
      <c r="M1354" s="2">
        <v>130.04</v>
      </c>
      <c r="N1354" s="2">
        <v>110.19</v>
      </c>
      <c r="O1354" s="2">
        <v>19.850000000000001</v>
      </c>
      <c r="P1354" s="2">
        <v>15.26</v>
      </c>
    </row>
    <row r="1355" spans="1:16" x14ac:dyDescent="0.25">
      <c r="A1355" t="s">
        <v>15</v>
      </c>
      <c r="B1355" t="s">
        <v>1690</v>
      </c>
      <c r="C1355" t="s">
        <v>58</v>
      </c>
      <c r="D1355" t="s">
        <v>1740</v>
      </c>
      <c r="E1355" t="s">
        <v>47</v>
      </c>
      <c r="F1355" t="s">
        <v>69</v>
      </c>
      <c r="G1355" s="1">
        <f>45898</f>
        <v>45898</v>
      </c>
      <c r="H1355" t="s">
        <v>70</v>
      </c>
      <c r="I1355" s="2">
        <v>0</v>
      </c>
      <c r="J1355" s="2">
        <v>0</v>
      </c>
      <c r="K1355" s="2">
        <v>0</v>
      </c>
      <c r="L1355" s="2">
        <v>0</v>
      </c>
      <c r="M1355" s="2">
        <v>23.26</v>
      </c>
      <c r="N1355" s="2">
        <v>19.72</v>
      </c>
      <c r="O1355" s="2">
        <v>3.54</v>
      </c>
      <c r="P1355" s="2">
        <v>15.22</v>
      </c>
    </row>
    <row r="1356" spans="1:16" x14ac:dyDescent="0.25">
      <c r="A1356" t="s">
        <v>15</v>
      </c>
      <c r="B1356" t="s">
        <v>1690</v>
      </c>
      <c r="C1356" t="s">
        <v>58</v>
      </c>
      <c r="D1356" t="s">
        <v>1741</v>
      </c>
      <c r="E1356" t="s">
        <v>47</v>
      </c>
      <c r="F1356" t="s">
        <v>69</v>
      </c>
      <c r="G1356" s="1">
        <f>45898</f>
        <v>45898</v>
      </c>
      <c r="H1356" t="s">
        <v>70</v>
      </c>
      <c r="I1356" s="2">
        <v>0</v>
      </c>
      <c r="J1356" s="2">
        <v>0</v>
      </c>
      <c r="K1356" s="2">
        <v>0</v>
      </c>
      <c r="L1356" s="2">
        <v>0</v>
      </c>
      <c r="M1356" s="2">
        <v>91.67</v>
      </c>
      <c r="N1356" s="2">
        <v>77.66</v>
      </c>
      <c r="O1356" s="2">
        <v>14.01</v>
      </c>
      <c r="P1356" s="2">
        <v>15.28</v>
      </c>
    </row>
    <row r="1357" spans="1:16" x14ac:dyDescent="0.25">
      <c r="A1357" t="s">
        <v>15</v>
      </c>
      <c r="B1357" t="s">
        <v>1690</v>
      </c>
      <c r="C1357" t="s">
        <v>58</v>
      </c>
      <c r="D1357" t="s">
        <v>1742</v>
      </c>
      <c r="E1357" t="s">
        <v>19</v>
      </c>
      <c r="F1357" t="s">
        <v>463</v>
      </c>
      <c r="G1357" s="1">
        <f>45898</f>
        <v>45898</v>
      </c>
      <c r="H1357" t="s">
        <v>56</v>
      </c>
      <c r="I1357" s="2">
        <v>1506.6</v>
      </c>
      <c r="J1357" s="2">
        <v>1054.0999999999999</v>
      </c>
      <c r="K1357" s="2">
        <v>452.5</v>
      </c>
      <c r="L1357" s="2">
        <v>30.03</v>
      </c>
      <c r="M1357" s="2">
        <v>1506.6</v>
      </c>
      <c r="N1357" s="2">
        <v>1054.0999999999999</v>
      </c>
      <c r="O1357" s="2">
        <v>414.5</v>
      </c>
      <c r="P1357" s="2">
        <v>30.03</v>
      </c>
    </row>
    <row r="1358" spans="1:16" x14ac:dyDescent="0.25">
      <c r="A1358" t="s">
        <v>15</v>
      </c>
      <c r="B1358" t="s">
        <v>1690</v>
      </c>
      <c r="C1358" t="s">
        <v>58</v>
      </c>
      <c r="D1358" t="s">
        <v>1743</v>
      </c>
      <c r="E1358" t="s">
        <v>19</v>
      </c>
      <c r="F1358" t="s">
        <v>1195</v>
      </c>
      <c r="G1358" s="1">
        <f>45889</f>
        <v>45889</v>
      </c>
      <c r="H1358" t="s">
        <v>56</v>
      </c>
      <c r="I1358" s="2">
        <v>6986.13</v>
      </c>
      <c r="J1358" s="2">
        <v>4806.96</v>
      </c>
      <c r="K1358" s="2">
        <v>2179.17</v>
      </c>
      <c r="L1358" s="2">
        <v>31.19</v>
      </c>
      <c r="M1358" s="2">
        <v>6986.13</v>
      </c>
      <c r="N1358" s="2">
        <v>4806.96</v>
      </c>
      <c r="O1358" s="2">
        <v>2087.17</v>
      </c>
      <c r="P1358" s="2">
        <v>31.19</v>
      </c>
    </row>
    <row r="1359" spans="1:16" x14ac:dyDescent="0.25">
      <c r="A1359" t="s">
        <v>15</v>
      </c>
      <c r="B1359" t="s">
        <v>1690</v>
      </c>
      <c r="C1359" t="s">
        <v>187</v>
      </c>
      <c r="D1359" t="s">
        <v>1744</v>
      </c>
      <c r="E1359" t="s">
        <v>19</v>
      </c>
      <c r="F1359" t="s">
        <v>248</v>
      </c>
      <c r="G1359" s="1">
        <f>45877</f>
        <v>45877</v>
      </c>
      <c r="H1359" t="s">
        <v>51</v>
      </c>
      <c r="I1359" s="2">
        <v>300.02999999999997</v>
      </c>
      <c r="J1359" s="2">
        <v>127.77</v>
      </c>
      <c r="K1359" s="2">
        <v>172.26</v>
      </c>
      <c r="L1359" s="2">
        <v>57.42</v>
      </c>
      <c r="M1359" s="2">
        <v>300.02999999999997</v>
      </c>
      <c r="N1359" s="2">
        <v>127.77</v>
      </c>
      <c r="O1359" s="2">
        <v>151.26</v>
      </c>
      <c r="P1359" s="2">
        <v>57.42</v>
      </c>
    </row>
    <row r="1360" spans="1:16" x14ac:dyDescent="0.25">
      <c r="A1360" t="s">
        <v>15</v>
      </c>
      <c r="B1360" t="s">
        <v>1690</v>
      </c>
      <c r="C1360" t="s">
        <v>187</v>
      </c>
      <c r="D1360" t="s">
        <v>1745</v>
      </c>
      <c r="E1360" t="s">
        <v>19</v>
      </c>
      <c r="F1360" t="s">
        <v>191</v>
      </c>
      <c r="G1360" s="1">
        <f>45877</f>
        <v>45877</v>
      </c>
      <c r="H1360" t="s">
        <v>51</v>
      </c>
      <c r="I1360" s="2">
        <v>13102.6</v>
      </c>
      <c r="J1360" s="2">
        <v>10363.16</v>
      </c>
      <c r="K1360" s="2">
        <v>2739.44</v>
      </c>
      <c r="L1360" s="2">
        <v>20.91</v>
      </c>
      <c r="M1360" s="2">
        <v>13102.6</v>
      </c>
      <c r="N1360" s="2">
        <v>10299.16</v>
      </c>
      <c r="O1360" s="2">
        <v>2629.61</v>
      </c>
      <c r="P1360" s="2">
        <v>21.4</v>
      </c>
    </row>
    <row r="1361" spans="1:16" x14ac:dyDescent="0.25">
      <c r="A1361" t="s">
        <v>15</v>
      </c>
      <c r="B1361" t="s">
        <v>1690</v>
      </c>
      <c r="C1361" t="s">
        <v>187</v>
      </c>
      <c r="D1361" t="s">
        <v>1746</v>
      </c>
      <c r="E1361" t="s">
        <v>19</v>
      </c>
      <c r="F1361" t="s">
        <v>191</v>
      </c>
      <c r="G1361" s="1">
        <f>45870</f>
        <v>45870</v>
      </c>
      <c r="H1361" t="s">
        <v>51</v>
      </c>
      <c r="I1361" s="2">
        <v>529.6</v>
      </c>
      <c r="J1361" s="2">
        <v>288.58</v>
      </c>
      <c r="K1361" s="2">
        <v>241.02</v>
      </c>
      <c r="L1361" s="2">
        <v>45.51</v>
      </c>
      <c r="M1361" s="2">
        <v>529.6</v>
      </c>
      <c r="N1361" s="2">
        <v>288.58</v>
      </c>
      <c r="O1361" s="2">
        <v>201.02</v>
      </c>
      <c r="P1361" s="2">
        <v>45.51</v>
      </c>
    </row>
    <row r="1362" spans="1:16" x14ac:dyDescent="0.25">
      <c r="A1362" t="s">
        <v>15</v>
      </c>
      <c r="B1362" t="s">
        <v>1690</v>
      </c>
      <c r="C1362" t="s">
        <v>187</v>
      </c>
      <c r="D1362" t="s">
        <v>1747</v>
      </c>
      <c r="E1362" t="s">
        <v>19</v>
      </c>
      <c r="F1362" t="s">
        <v>189</v>
      </c>
      <c r="G1362" s="1">
        <f>45873</f>
        <v>45873</v>
      </c>
      <c r="H1362" t="s">
        <v>51</v>
      </c>
      <c r="I1362" s="2">
        <v>252.2</v>
      </c>
      <c r="J1362" s="2">
        <v>164.5</v>
      </c>
      <c r="K1362" s="2">
        <v>87.7</v>
      </c>
      <c r="L1362" s="2">
        <v>34.770000000000003</v>
      </c>
      <c r="M1362" s="2">
        <v>252.2</v>
      </c>
      <c r="N1362" s="2">
        <v>164.5</v>
      </c>
      <c r="O1362" s="2">
        <v>45.7</v>
      </c>
      <c r="P1362" s="2">
        <v>34.770000000000003</v>
      </c>
    </row>
    <row r="1363" spans="1:16" x14ac:dyDescent="0.25">
      <c r="A1363" t="s">
        <v>15</v>
      </c>
      <c r="B1363" t="s">
        <v>1690</v>
      </c>
      <c r="C1363" t="s">
        <v>187</v>
      </c>
      <c r="D1363" t="s">
        <v>1748</v>
      </c>
      <c r="E1363" t="s">
        <v>19</v>
      </c>
      <c r="F1363" t="s">
        <v>191</v>
      </c>
      <c r="G1363" s="1">
        <f>45873</f>
        <v>45873</v>
      </c>
      <c r="H1363" t="s">
        <v>51</v>
      </c>
      <c r="I1363" s="2">
        <v>219</v>
      </c>
      <c r="J1363" s="2">
        <v>132.19999999999999</v>
      </c>
      <c r="K1363" s="2">
        <v>86.8</v>
      </c>
      <c r="L1363" s="2">
        <v>39.630000000000003</v>
      </c>
      <c r="M1363" s="2">
        <v>219</v>
      </c>
      <c r="N1363" s="2">
        <v>132.19999999999999</v>
      </c>
      <c r="O1363" s="2">
        <v>42.8</v>
      </c>
      <c r="P1363" s="2">
        <v>39.630000000000003</v>
      </c>
    </row>
    <row r="1364" spans="1:16" x14ac:dyDescent="0.25">
      <c r="A1364" t="s">
        <v>15</v>
      </c>
      <c r="B1364" t="s">
        <v>1690</v>
      </c>
      <c r="C1364" t="s">
        <v>187</v>
      </c>
      <c r="D1364" t="s">
        <v>1749</v>
      </c>
      <c r="E1364" t="s">
        <v>47</v>
      </c>
      <c r="F1364" t="s">
        <v>1750</v>
      </c>
      <c r="G1364" s="1">
        <f>45874</f>
        <v>45874</v>
      </c>
      <c r="H1364" t="s">
        <v>51</v>
      </c>
      <c r="I1364" s="2">
        <v>22924</v>
      </c>
      <c r="J1364" s="2">
        <v>17765.560000000001</v>
      </c>
      <c r="K1364" s="2">
        <v>5158.4399999999996</v>
      </c>
      <c r="L1364" s="2">
        <v>22.5</v>
      </c>
      <c r="M1364" s="2">
        <v>-6877.2</v>
      </c>
      <c r="N1364" s="2">
        <v>0</v>
      </c>
      <c r="O1364" s="2">
        <v>-6877.2</v>
      </c>
      <c r="P1364" s="2">
        <v>100</v>
      </c>
    </row>
    <row r="1365" spans="1:16" x14ac:dyDescent="0.25">
      <c r="A1365" t="s">
        <v>15</v>
      </c>
      <c r="B1365" t="s">
        <v>1690</v>
      </c>
      <c r="C1365" t="s">
        <v>187</v>
      </c>
      <c r="D1365" t="s">
        <v>1751</v>
      </c>
      <c r="E1365" t="s">
        <v>19</v>
      </c>
      <c r="F1365" t="s">
        <v>1752</v>
      </c>
      <c r="G1365" s="1">
        <f>45875</f>
        <v>45875</v>
      </c>
      <c r="H1365" t="s">
        <v>51</v>
      </c>
      <c r="I1365" s="2">
        <v>475.9</v>
      </c>
      <c r="J1365" s="2">
        <v>312.17</v>
      </c>
      <c r="K1365" s="2">
        <v>163.72999999999999</v>
      </c>
      <c r="L1365" s="2">
        <v>34.4</v>
      </c>
      <c r="M1365" s="2">
        <v>475.9</v>
      </c>
      <c r="N1365" s="2">
        <v>312.17</v>
      </c>
      <c r="O1365" s="2">
        <v>122.73</v>
      </c>
      <c r="P1365" s="2">
        <v>34.4</v>
      </c>
    </row>
    <row r="1366" spans="1:16" x14ac:dyDescent="0.25">
      <c r="A1366" t="s">
        <v>15</v>
      </c>
      <c r="B1366" t="s">
        <v>1690</v>
      </c>
      <c r="C1366" t="s">
        <v>187</v>
      </c>
      <c r="D1366" t="s">
        <v>1753</v>
      </c>
      <c r="E1366" t="s">
        <v>47</v>
      </c>
      <c r="F1366" t="s">
        <v>1754</v>
      </c>
      <c r="G1366" s="1">
        <f>45877</f>
        <v>45877</v>
      </c>
      <c r="H1366" t="s">
        <v>1755</v>
      </c>
      <c r="I1366" s="2">
        <v>1792.8</v>
      </c>
      <c r="J1366" s="2">
        <v>1254.79</v>
      </c>
      <c r="K1366" s="2">
        <v>538.01</v>
      </c>
      <c r="L1366" s="2">
        <v>30.01</v>
      </c>
      <c r="M1366" s="2">
        <v>1792.8</v>
      </c>
      <c r="N1366" s="2">
        <v>1254.79</v>
      </c>
      <c r="O1366" s="2">
        <v>438.01</v>
      </c>
      <c r="P1366" s="2">
        <v>30.01</v>
      </c>
    </row>
    <row r="1367" spans="1:16" x14ac:dyDescent="0.25">
      <c r="A1367" t="s">
        <v>15</v>
      </c>
      <c r="B1367" t="s">
        <v>1690</v>
      </c>
      <c r="C1367" t="s">
        <v>187</v>
      </c>
      <c r="D1367" t="s">
        <v>1756</v>
      </c>
      <c r="E1367" t="s">
        <v>19</v>
      </c>
      <c r="F1367" t="s">
        <v>501</v>
      </c>
      <c r="G1367" s="1">
        <f>45880</f>
        <v>45880</v>
      </c>
      <c r="H1367" t="s">
        <v>51</v>
      </c>
      <c r="I1367" s="2">
        <v>802.2</v>
      </c>
      <c r="J1367" s="2">
        <v>633.74</v>
      </c>
      <c r="K1367" s="2">
        <v>168.46</v>
      </c>
      <c r="L1367" s="2">
        <v>21</v>
      </c>
      <c r="M1367" s="2">
        <v>802.2</v>
      </c>
      <c r="N1367" s="2">
        <v>633.75</v>
      </c>
      <c r="O1367" s="2">
        <v>168.45</v>
      </c>
      <c r="P1367" s="2">
        <v>21</v>
      </c>
    </row>
    <row r="1368" spans="1:16" x14ac:dyDescent="0.25">
      <c r="A1368" t="s">
        <v>15</v>
      </c>
      <c r="B1368" t="s">
        <v>1690</v>
      </c>
      <c r="C1368" t="s">
        <v>187</v>
      </c>
      <c r="D1368" t="s">
        <v>1757</v>
      </c>
      <c r="E1368" t="s">
        <v>19</v>
      </c>
      <c r="F1368" t="s">
        <v>1758</v>
      </c>
      <c r="G1368" s="1">
        <f>45881</f>
        <v>45881</v>
      </c>
      <c r="H1368" t="s">
        <v>51</v>
      </c>
      <c r="I1368" s="2">
        <v>679.6</v>
      </c>
      <c r="J1368" s="2">
        <v>469.2</v>
      </c>
      <c r="K1368" s="2">
        <v>210.4</v>
      </c>
      <c r="L1368" s="2">
        <v>30.96</v>
      </c>
      <c r="M1368" s="2">
        <v>679.6</v>
      </c>
      <c r="N1368" s="2">
        <v>469.2</v>
      </c>
      <c r="O1368" s="2">
        <v>201.4</v>
      </c>
      <c r="P1368" s="2">
        <v>30.96</v>
      </c>
    </row>
    <row r="1369" spans="1:16" x14ac:dyDescent="0.25">
      <c r="A1369" t="s">
        <v>15</v>
      </c>
      <c r="B1369" t="s">
        <v>1690</v>
      </c>
      <c r="C1369" t="s">
        <v>187</v>
      </c>
      <c r="D1369" t="s">
        <v>1759</v>
      </c>
      <c r="E1369" t="s">
        <v>19</v>
      </c>
      <c r="F1369" t="s">
        <v>219</v>
      </c>
      <c r="G1369" s="1">
        <f>45887</f>
        <v>45887</v>
      </c>
      <c r="H1369" t="s">
        <v>51</v>
      </c>
      <c r="I1369" s="2">
        <v>3922.39</v>
      </c>
      <c r="J1369" s="2">
        <v>2934.34</v>
      </c>
      <c r="K1369" s="2">
        <v>988.05</v>
      </c>
      <c r="L1369" s="2">
        <v>25.19</v>
      </c>
      <c r="M1369" s="2">
        <v>3922.39</v>
      </c>
      <c r="N1369" s="2">
        <v>2876.03</v>
      </c>
      <c r="O1369" s="2">
        <v>1037.3599999999999</v>
      </c>
      <c r="P1369" s="2">
        <v>26.68</v>
      </c>
    </row>
    <row r="1370" spans="1:16" x14ac:dyDescent="0.25">
      <c r="A1370" t="s">
        <v>15</v>
      </c>
      <c r="B1370" t="s">
        <v>1690</v>
      </c>
      <c r="C1370" t="s">
        <v>187</v>
      </c>
      <c r="D1370" t="s">
        <v>1760</v>
      </c>
      <c r="E1370" t="s">
        <v>19</v>
      </c>
      <c r="F1370" t="s">
        <v>213</v>
      </c>
      <c r="G1370" s="1">
        <f>45889</f>
        <v>45889</v>
      </c>
      <c r="H1370" t="s">
        <v>51</v>
      </c>
      <c r="I1370" s="2">
        <v>2263.1999999999998</v>
      </c>
      <c r="J1370" s="2">
        <v>1465</v>
      </c>
      <c r="K1370" s="2">
        <v>798.2</v>
      </c>
      <c r="L1370" s="2">
        <v>35.270000000000003</v>
      </c>
      <c r="M1370" s="2">
        <v>2263.1999999999998</v>
      </c>
      <c r="N1370" s="2">
        <v>1465</v>
      </c>
      <c r="O1370" s="2">
        <v>788.2</v>
      </c>
      <c r="P1370" s="2">
        <v>35.270000000000003</v>
      </c>
    </row>
    <row r="1371" spans="1:16" x14ac:dyDescent="0.25">
      <c r="A1371" t="s">
        <v>15</v>
      </c>
      <c r="B1371" t="s">
        <v>1690</v>
      </c>
      <c r="C1371" t="s">
        <v>187</v>
      </c>
      <c r="D1371" t="s">
        <v>1761</v>
      </c>
      <c r="E1371" t="s">
        <v>19</v>
      </c>
      <c r="F1371" t="s">
        <v>217</v>
      </c>
      <c r="G1371" s="1">
        <f>45889</f>
        <v>45889</v>
      </c>
      <c r="H1371" t="s">
        <v>51</v>
      </c>
      <c r="I1371" s="2">
        <v>507.04</v>
      </c>
      <c r="J1371" s="2">
        <v>312.33</v>
      </c>
      <c r="K1371" s="2">
        <v>194.71</v>
      </c>
      <c r="L1371" s="2">
        <v>38.4</v>
      </c>
      <c r="M1371" s="2">
        <v>507.04</v>
      </c>
      <c r="N1371" s="2">
        <v>312.33</v>
      </c>
      <c r="O1371" s="2">
        <v>185.71</v>
      </c>
      <c r="P1371" s="2">
        <v>38.4</v>
      </c>
    </row>
    <row r="1372" spans="1:16" x14ac:dyDescent="0.25">
      <c r="A1372" t="s">
        <v>15</v>
      </c>
      <c r="B1372" t="s">
        <v>1690</v>
      </c>
      <c r="C1372" t="s">
        <v>187</v>
      </c>
      <c r="D1372" t="s">
        <v>1762</v>
      </c>
      <c r="E1372" t="s">
        <v>47</v>
      </c>
      <c r="F1372" t="s">
        <v>1763</v>
      </c>
      <c r="G1372" s="1">
        <f>45890</f>
        <v>45890</v>
      </c>
      <c r="H1372" t="s">
        <v>1755</v>
      </c>
      <c r="I1372" s="2">
        <v>6051</v>
      </c>
      <c r="J1372" s="2">
        <v>4211.1899999999996</v>
      </c>
      <c r="K1372" s="2">
        <v>1839.81</v>
      </c>
      <c r="L1372" s="2">
        <v>30.41</v>
      </c>
      <c r="M1372" s="2">
        <v>6051</v>
      </c>
      <c r="N1372" s="2">
        <v>4211.1899999999996</v>
      </c>
      <c r="O1372" s="2">
        <v>1690.81</v>
      </c>
      <c r="P1372" s="2">
        <v>30.41</v>
      </c>
    </row>
    <row r="1373" spans="1:16" x14ac:dyDescent="0.25">
      <c r="A1373" t="s">
        <v>15</v>
      </c>
      <c r="B1373" t="s">
        <v>1690</v>
      </c>
      <c r="C1373" t="s">
        <v>187</v>
      </c>
      <c r="D1373" t="s">
        <v>1764</v>
      </c>
      <c r="E1373" t="s">
        <v>19</v>
      </c>
      <c r="F1373" t="s">
        <v>211</v>
      </c>
      <c r="G1373" s="1">
        <f>45890</f>
        <v>45890</v>
      </c>
      <c r="H1373" t="s">
        <v>51</v>
      </c>
      <c r="I1373" s="2">
        <v>5251</v>
      </c>
      <c r="J1373" s="2">
        <v>3563.2</v>
      </c>
      <c r="K1373" s="2">
        <v>1687.8</v>
      </c>
      <c r="L1373" s="2">
        <v>32.14</v>
      </c>
      <c r="M1373" s="2">
        <v>5251</v>
      </c>
      <c r="N1373" s="2">
        <v>3956.59</v>
      </c>
      <c r="O1373" s="2">
        <v>1256.4100000000001</v>
      </c>
      <c r="P1373" s="2">
        <v>24.65</v>
      </c>
    </row>
    <row r="1374" spans="1:16" x14ac:dyDescent="0.25">
      <c r="A1374" t="s">
        <v>15</v>
      </c>
      <c r="B1374" t="s">
        <v>1690</v>
      </c>
      <c r="C1374" t="s">
        <v>187</v>
      </c>
      <c r="D1374" t="s">
        <v>1765</v>
      </c>
      <c r="E1374" t="s">
        <v>19</v>
      </c>
      <c r="F1374" t="s">
        <v>307</v>
      </c>
      <c r="G1374" s="1">
        <f>45891</f>
        <v>45891</v>
      </c>
      <c r="H1374" t="s">
        <v>51</v>
      </c>
      <c r="I1374" s="2">
        <v>1240.8499999999999</v>
      </c>
      <c r="J1374" s="2">
        <v>329</v>
      </c>
      <c r="K1374" s="2">
        <v>911.85</v>
      </c>
      <c r="L1374" s="2">
        <v>73.489999999999995</v>
      </c>
      <c r="M1374" s="2">
        <v>1240.8499999999999</v>
      </c>
      <c r="N1374" s="2">
        <v>329</v>
      </c>
      <c r="O1374" s="2">
        <v>861.85</v>
      </c>
      <c r="P1374" s="2">
        <v>73.489999999999995</v>
      </c>
    </row>
    <row r="1375" spans="1:16" x14ac:dyDescent="0.25">
      <c r="A1375" t="s">
        <v>15</v>
      </c>
      <c r="B1375" t="s">
        <v>1690</v>
      </c>
      <c r="C1375" t="s">
        <v>187</v>
      </c>
      <c r="D1375" t="s">
        <v>1766</v>
      </c>
      <c r="E1375" t="s">
        <v>19</v>
      </c>
      <c r="F1375" t="s">
        <v>211</v>
      </c>
      <c r="G1375" s="1">
        <f>45891</f>
        <v>45891</v>
      </c>
      <c r="H1375" t="s">
        <v>51</v>
      </c>
      <c r="I1375" s="2">
        <v>853</v>
      </c>
      <c r="J1375" s="2">
        <v>543</v>
      </c>
      <c r="K1375" s="2">
        <v>310</v>
      </c>
      <c r="L1375" s="2">
        <v>36.340000000000003</v>
      </c>
      <c r="M1375" s="2">
        <v>853</v>
      </c>
      <c r="N1375" s="2">
        <v>1013</v>
      </c>
      <c r="O1375" s="2">
        <v>-242</v>
      </c>
      <c r="P1375" s="2">
        <v>-18.760000000000002</v>
      </c>
    </row>
    <row r="1376" spans="1:16" x14ac:dyDescent="0.25">
      <c r="A1376" t="s">
        <v>15</v>
      </c>
      <c r="B1376" t="s">
        <v>1690</v>
      </c>
      <c r="C1376" t="s">
        <v>187</v>
      </c>
      <c r="D1376" t="s">
        <v>1767</v>
      </c>
      <c r="E1376" t="s">
        <v>19</v>
      </c>
      <c r="F1376" t="s">
        <v>211</v>
      </c>
      <c r="G1376" s="1">
        <f>45891</f>
        <v>45891</v>
      </c>
      <c r="H1376" t="s">
        <v>51</v>
      </c>
      <c r="I1376" s="2">
        <v>1586.24</v>
      </c>
      <c r="J1376" s="2">
        <v>753.08</v>
      </c>
      <c r="K1376" s="2">
        <v>833.16</v>
      </c>
      <c r="L1376" s="2">
        <v>52.52</v>
      </c>
      <c r="M1376" s="2">
        <v>1586.24</v>
      </c>
      <c r="N1376" s="2">
        <v>858.66</v>
      </c>
      <c r="O1376" s="2">
        <v>727.58</v>
      </c>
      <c r="P1376" s="2">
        <v>45.87</v>
      </c>
    </row>
    <row r="1377" spans="1:16" x14ac:dyDescent="0.25">
      <c r="A1377" t="s">
        <v>15</v>
      </c>
      <c r="B1377" t="s">
        <v>1690</v>
      </c>
      <c r="C1377" t="s">
        <v>187</v>
      </c>
      <c r="D1377" t="s">
        <v>1768</v>
      </c>
      <c r="E1377" t="s">
        <v>19</v>
      </c>
      <c r="F1377" t="s">
        <v>248</v>
      </c>
      <c r="G1377" s="1">
        <f>45894</f>
        <v>45894</v>
      </c>
      <c r="H1377" t="s">
        <v>51</v>
      </c>
      <c r="I1377" s="2">
        <v>1482.15</v>
      </c>
      <c r="J1377" s="2">
        <v>1027.77</v>
      </c>
      <c r="K1377" s="2">
        <v>454.38</v>
      </c>
      <c r="L1377" s="2">
        <v>30.66</v>
      </c>
      <c r="M1377" s="2">
        <v>1482.15</v>
      </c>
      <c r="N1377" s="2">
        <v>1027.77</v>
      </c>
      <c r="O1377" s="2">
        <v>406.38</v>
      </c>
      <c r="P1377" s="2">
        <v>30.66</v>
      </c>
    </row>
    <row r="1378" spans="1:16" x14ac:dyDescent="0.25">
      <c r="A1378" t="s">
        <v>15</v>
      </c>
      <c r="B1378" t="s">
        <v>1690</v>
      </c>
      <c r="C1378" t="s">
        <v>187</v>
      </c>
      <c r="D1378" t="s">
        <v>1769</v>
      </c>
      <c r="E1378" t="s">
        <v>19</v>
      </c>
      <c r="F1378" t="s">
        <v>189</v>
      </c>
      <c r="G1378" s="1">
        <f>45894</f>
        <v>45894</v>
      </c>
      <c r="H1378" t="s">
        <v>51</v>
      </c>
      <c r="I1378" s="2">
        <v>157.63</v>
      </c>
      <c r="J1378" s="2">
        <v>54.21</v>
      </c>
      <c r="K1378" s="2">
        <v>103.42</v>
      </c>
      <c r="L1378" s="2">
        <v>65.61</v>
      </c>
      <c r="M1378" s="2">
        <v>157.63</v>
      </c>
      <c r="N1378" s="2">
        <v>54.21</v>
      </c>
      <c r="O1378" s="2">
        <v>94.42</v>
      </c>
      <c r="P1378" s="2">
        <v>65.61</v>
      </c>
    </row>
    <row r="1379" spans="1:16" x14ac:dyDescent="0.25">
      <c r="A1379" t="s">
        <v>15</v>
      </c>
      <c r="B1379" t="s">
        <v>1690</v>
      </c>
      <c r="C1379" t="s">
        <v>187</v>
      </c>
      <c r="D1379" t="s">
        <v>1770</v>
      </c>
      <c r="E1379" t="s">
        <v>19</v>
      </c>
      <c r="F1379" t="s">
        <v>211</v>
      </c>
      <c r="G1379" s="1">
        <f>45895</f>
        <v>45895</v>
      </c>
      <c r="H1379" t="s">
        <v>51</v>
      </c>
      <c r="I1379" s="2">
        <v>1647</v>
      </c>
      <c r="J1379" s="2">
        <v>1114</v>
      </c>
      <c r="K1379" s="2">
        <v>533</v>
      </c>
      <c r="L1379" s="2">
        <v>32.36</v>
      </c>
      <c r="M1379" s="2">
        <v>1647</v>
      </c>
      <c r="N1379" s="2">
        <v>1114</v>
      </c>
      <c r="O1379" s="2">
        <v>434</v>
      </c>
      <c r="P1379" s="2">
        <v>32.36</v>
      </c>
    </row>
    <row r="1380" spans="1:16" x14ac:dyDescent="0.25">
      <c r="A1380" t="s">
        <v>15</v>
      </c>
      <c r="B1380" t="s">
        <v>1690</v>
      </c>
      <c r="C1380" t="s">
        <v>187</v>
      </c>
      <c r="D1380" t="s">
        <v>1771</v>
      </c>
      <c r="E1380" t="s">
        <v>19</v>
      </c>
      <c r="F1380" t="s">
        <v>189</v>
      </c>
      <c r="G1380" s="1">
        <f>45896</f>
        <v>45896</v>
      </c>
      <c r="H1380" t="s">
        <v>51</v>
      </c>
      <c r="I1380" s="2">
        <v>422.5</v>
      </c>
      <c r="J1380" s="2">
        <v>268.77</v>
      </c>
      <c r="K1380" s="2">
        <v>153.72999999999999</v>
      </c>
      <c r="L1380" s="2">
        <v>36.39</v>
      </c>
      <c r="M1380" s="2">
        <v>422.5</v>
      </c>
      <c r="N1380" s="2">
        <v>268.77</v>
      </c>
      <c r="O1380" s="2">
        <v>111.73</v>
      </c>
      <c r="P1380" s="2">
        <v>36.39</v>
      </c>
    </row>
    <row r="1381" spans="1:16" x14ac:dyDescent="0.25">
      <c r="A1381" t="s">
        <v>15</v>
      </c>
      <c r="B1381" t="s">
        <v>1690</v>
      </c>
      <c r="C1381" t="s">
        <v>187</v>
      </c>
      <c r="D1381" t="s">
        <v>1772</v>
      </c>
      <c r="E1381" t="s">
        <v>19</v>
      </c>
      <c r="F1381" t="s">
        <v>1773</v>
      </c>
      <c r="G1381" s="1">
        <f>45896</f>
        <v>45896</v>
      </c>
      <c r="H1381" t="s">
        <v>51</v>
      </c>
      <c r="I1381" s="2">
        <v>433</v>
      </c>
      <c r="J1381" s="2">
        <v>295.45</v>
      </c>
      <c r="K1381" s="2">
        <v>137.55000000000001</v>
      </c>
      <c r="L1381" s="2">
        <v>31.77</v>
      </c>
      <c r="M1381" s="2">
        <v>433</v>
      </c>
      <c r="N1381" s="2">
        <v>295.45</v>
      </c>
      <c r="O1381" s="2">
        <v>121.95</v>
      </c>
      <c r="P1381" s="2">
        <v>31.77</v>
      </c>
    </row>
    <row r="1382" spans="1:16" x14ac:dyDescent="0.25">
      <c r="A1382" t="s">
        <v>15</v>
      </c>
      <c r="B1382" t="s">
        <v>1690</v>
      </c>
      <c r="C1382" t="s">
        <v>187</v>
      </c>
      <c r="D1382" t="s">
        <v>1774</v>
      </c>
      <c r="E1382" t="s">
        <v>47</v>
      </c>
      <c r="F1382" t="s">
        <v>1775</v>
      </c>
      <c r="G1382" s="1">
        <f>45896</f>
        <v>45896</v>
      </c>
      <c r="H1382" t="s">
        <v>51</v>
      </c>
      <c r="I1382" s="2">
        <v>5270.6</v>
      </c>
      <c r="J1382" s="2">
        <v>3855.93</v>
      </c>
      <c r="K1382" s="2">
        <v>1414.67</v>
      </c>
      <c r="L1382" s="2">
        <v>26.84</v>
      </c>
      <c r="M1382" s="2">
        <v>2925.6</v>
      </c>
      <c r="N1382" s="2">
        <v>2095.9299999999998</v>
      </c>
      <c r="O1382" s="2">
        <v>661.67</v>
      </c>
      <c r="P1382" s="2">
        <v>28.36</v>
      </c>
    </row>
    <row r="1383" spans="1:16" x14ac:dyDescent="0.25">
      <c r="A1383" t="s">
        <v>15</v>
      </c>
      <c r="B1383" t="s">
        <v>1690</v>
      </c>
      <c r="C1383" t="s">
        <v>187</v>
      </c>
      <c r="D1383" t="s">
        <v>1776</v>
      </c>
      <c r="E1383" t="s">
        <v>19</v>
      </c>
      <c r="F1383" t="s">
        <v>189</v>
      </c>
      <c r="G1383" s="1">
        <f>45897</f>
        <v>45897</v>
      </c>
      <c r="H1383" t="s">
        <v>51</v>
      </c>
      <c r="I1383" s="2">
        <v>1132</v>
      </c>
      <c r="J1383" s="2">
        <v>704</v>
      </c>
      <c r="K1383" s="2">
        <v>428</v>
      </c>
      <c r="L1383" s="2">
        <v>37.81</v>
      </c>
      <c r="M1383" s="2">
        <v>1132</v>
      </c>
      <c r="N1383" s="2">
        <v>704</v>
      </c>
      <c r="O1383" s="2">
        <v>391</v>
      </c>
      <c r="P1383" s="2">
        <v>37.81</v>
      </c>
    </row>
    <row r="1384" spans="1:16" x14ac:dyDescent="0.25">
      <c r="A1384" t="s">
        <v>15</v>
      </c>
      <c r="B1384" t="s">
        <v>1690</v>
      </c>
      <c r="C1384" t="s">
        <v>187</v>
      </c>
      <c r="D1384" t="s">
        <v>1777</v>
      </c>
      <c r="E1384" t="s">
        <v>19</v>
      </c>
      <c r="F1384" t="s">
        <v>206</v>
      </c>
      <c r="G1384" s="1">
        <f>45898</f>
        <v>45898</v>
      </c>
      <c r="H1384" t="s">
        <v>51</v>
      </c>
      <c r="I1384" s="2">
        <v>4908.8</v>
      </c>
      <c r="J1384" s="2">
        <v>3534.3</v>
      </c>
      <c r="K1384" s="2">
        <v>1374.5</v>
      </c>
      <c r="L1384" s="2">
        <v>28</v>
      </c>
      <c r="M1384" s="2">
        <v>4908.8</v>
      </c>
      <c r="N1384" s="2">
        <v>3534.3</v>
      </c>
      <c r="O1384" s="2">
        <v>1234.5</v>
      </c>
      <c r="P1384" s="2">
        <v>28</v>
      </c>
    </row>
    <row r="1385" spans="1:16" x14ac:dyDescent="0.25">
      <c r="A1385" t="s">
        <v>15</v>
      </c>
      <c r="B1385" t="s">
        <v>1690</v>
      </c>
      <c r="C1385" t="s">
        <v>187</v>
      </c>
      <c r="D1385" t="s">
        <v>1778</v>
      </c>
      <c r="E1385" t="s">
        <v>19</v>
      </c>
      <c r="F1385" t="s">
        <v>1599</v>
      </c>
      <c r="G1385" s="1">
        <f>45875</f>
        <v>45875</v>
      </c>
      <c r="H1385" t="s">
        <v>51</v>
      </c>
      <c r="I1385" s="2">
        <v>272.5</v>
      </c>
      <c r="J1385" s="2">
        <v>146.51</v>
      </c>
      <c r="K1385" s="2">
        <v>125.99</v>
      </c>
      <c r="L1385" s="2">
        <v>46.23</v>
      </c>
      <c r="M1385" s="2">
        <v>272.5</v>
      </c>
      <c r="N1385" s="2">
        <v>146.51</v>
      </c>
      <c r="O1385" s="2">
        <v>59.48</v>
      </c>
      <c r="P1385" s="2">
        <v>46.23</v>
      </c>
    </row>
    <row r="1386" spans="1:16" x14ac:dyDescent="0.25">
      <c r="A1386" t="s">
        <v>15</v>
      </c>
      <c r="B1386" t="s">
        <v>1690</v>
      </c>
      <c r="C1386" t="s">
        <v>187</v>
      </c>
      <c r="D1386" t="s">
        <v>1779</v>
      </c>
      <c r="E1386" t="s">
        <v>19</v>
      </c>
      <c r="F1386" t="s">
        <v>507</v>
      </c>
      <c r="G1386" s="1">
        <f>45875</f>
        <v>45875</v>
      </c>
      <c r="H1386" t="s">
        <v>51</v>
      </c>
      <c r="I1386" s="2">
        <v>2535</v>
      </c>
      <c r="J1386" s="2">
        <v>1523.99</v>
      </c>
      <c r="K1386" s="2">
        <v>1011.01</v>
      </c>
      <c r="L1386" s="2">
        <v>39.880000000000003</v>
      </c>
      <c r="M1386" s="2">
        <v>2535</v>
      </c>
      <c r="N1386" s="2">
        <v>1523.99</v>
      </c>
      <c r="O1386" s="2">
        <v>911.01</v>
      </c>
      <c r="P1386" s="2">
        <v>39.880000000000003</v>
      </c>
    </row>
    <row r="1387" spans="1:16" x14ac:dyDescent="0.25">
      <c r="A1387" t="s">
        <v>15</v>
      </c>
      <c r="B1387" t="s">
        <v>1690</v>
      </c>
      <c r="C1387" t="s">
        <v>187</v>
      </c>
      <c r="D1387" t="s">
        <v>1780</v>
      </c>
      <c r="E1387" t="s">
        <v>47</v>
      </c>
      <c r="F1387" t="s">
        <v>1415</v>
      </c>
      <c r="G1387" s="1">
        <f>45898</f>
        <v>45898</v>
      </c>
      <c r="H1387" t="s">
        <v>1755</v>
      </c>
      <c r="I1387" s="2">
        <v>4381.7</v>
      </c>
      <c r="J1387" s="2">
        <v>2696.83</v>
      </c>
      <c r="K1387" s="2">
        <v>1684.87</v>
      </c>
      <c r="L1387" s="2">
        <v>38.450000000000003</v>
      </c>
      <c r="M1387" s="2">
        <v>4381.7</v>
      </c>
      <c r="N1387" s="2">
        <v>4618.78</v>
      </c>
      <c r="O1387" s="2">
        <v>-444.52</v>
      </c>
      <c r="P1387" s="2">
        <v>-5.41</v>
      </c>
    </row>
    <row r="1388" spans="1:16" x14ac:dyDescent="0.25">
      <c r="A1388" t="s">
        <v>15</v>
      </c>
      <c r="B1388" t="s">
        <v>1690</v>
      </c>
      <c r="C1388" t="s">
        <v>252</v>
      </c>
      <c r="D1388" t="s">
        <v>1781</v>
      </c>
      <c r="E1388" t="s">
        <v>47</v>
      </c>
      <c r="F1388" t="s">
        <v>254</v>
      </c>
      <c r="G1388" s="1">
        <f>45874</f>
        <v>45874</v>
      </c>
      <c r="H1388" t="s">
        <v>2422</v>
      </c>
      <c r="I1388" s="2">
        <v>192.1</v>
      </c>
      <c r="J1388" s="2">
        <v>64</v>
      </c>
      <c r="K1388" s="2">
        <v>128.1</v>
      </c>
      <c r="L1388" s="2">
        <v>66.680000000000007</v>
      </c>
      <c r="M1388" s="2">
        <v>192.1</v>
      </c>
      <c r="N1388" s="2">
        <v>64</v>
      </c>
      <c r="O1388" s="2">
        <v>119.1</v>
      </c>
      <c r="P1388" s="2">
        <v>66.680000000000007</v>
      </c>
    </row>
    <row r="1389" spans="1:16" x14ac:dyDescent="0.25">
      <c r="A1389" t="s">
        <v>15</v>
      </c>
      <c r="B1389" t="s">
        <v>1690</v>
      </c>
      <c r="C1389" t="s">
        <v>252</v>
      </c>
      <c r="D1389" t="s">
        <v>1782</v>
      </c>
      <c r="E1389" t="s">
        <v>47</v>
      </c>
      <c r="F1389" t="s">
        <v>301</v>
      </c>
      <c r="G1389" s="1">
        <f>45875</f>
        <v>45875</v>
      </c>
      <c r="H1389" t="s">
        <v>2422</v>
      </c>
      <c r="I1389" s="2">
        <v>1640.5</v>
      </c>
      <c r="J1389" s="2">
        <v>1084.5999999999999</v>
      </c>
      <c r="K1389" s="2">
        <v>555.9</v>
      </c>
      <c r="L1389" s="2">
        <v>33.89</v>
      </c>
      <c r="M1389" s="2">
        <v>1640.5</v>
      </c>
      <c r="N1389" s="2">
        <v>1307.2</v>
      </c>
      <c r="O1389" s="2">
        <v>270.3</v>
      </c>
      <c r="P1389" s="2">
        <v>20.32</v>
      </c>
    </row>
    <row r="1390" spans="1:16" x14ac:dyDescent="0.25">
      <c r="A1390" t="s">
        <v>15</v>
      </c>
      <c r="B1390" t="s">
        <v>1690</v>
      </c>
      <c r="C1390" t="s">
        <v>252</v>
      </c>
      <c r="D1390" t="s">
        <v>1783</v>
      </c>
      <c r="E1390" t="s">
        <v>19</v>
      </c>
      <c r="F1390" t="s">
        <v>574</v>
      </c>
      <c r="G1390" s="1">
        <f>45876</f>
        <v>45876</v>
      </c>
      <c r="H1390" t="s">
        <v>2422</v>
      </c>
      <c r="I1390" s="2">
        <v>1036.3</v>
      </c>
      <c r="J1390" s="2">
        <v>716.29</v>
      </c>
      <c r="K1390" s="2">
        <v>320.01</v>
      </c>
      <c r="L1390" s="2">
        <v>30.88</v>
      </c>
      <c r="M1390" s="2">
        <v>1036.3</v>
      </c>
      <c r="N1390" s="2">
        <v>716.29</v>
      </c>
      <c r="O1390" s="2">
        <v>312.35000000000002</v>
      </c>
      <c r="P1390" s="2">
        <v>30.88</v>
      </c>
    </row>
    <row r="1391" spans="1:16" x14ac:dyDescent="0.25">
      <c r="A1391" t="s">
        <v>15</v>
      </c>
      <c r="B1391" t="s">
        <v>1690</v>
      </c>
      <c r="C1391" t="s">
        <v>252</v>
      </c>
      <c r="D1391" t="s">
        <v>1784</v>
      </c>
      <c r="E1391" t="s">
        <v>19</v>
      </c>
      <c r="F1391" t="s">
        <v>301</v>
      </c>
      <c r="G1391" s="1">
        <f>45877</f>
        <v>45877</v>
      </c>
      <c r="H1391" t="s">
        <v>2422</v>
      </c>
      <c r="I1391" s="2">
        <v>1499.2</v>
      </c>
      <c r="J1391" s="2">
        <v>1005.86</v>
      </c>
      <c r="K1391" s="2">
        <v>493.34</v>
      </c>
      <c r="L1391" s="2">
        <v>32.909999999999997</v>
      </c>
      <c r="M1391" s="2">
        <v>1499.2</v>
      </c>
      <c r="N1391" s="2">
        <v>1005.86</v>
      </c>
      <c r="O1391" s="2">
        <v>480.34</v>
      </c>
      <c r="P1391" s="2">
        <v>32.909999999999997</v>
      </c>
    </row>
    <row r="1392" spans="1:16" x14ac:dyDescent="0.25">
      <c r="A1392" t="s">
        <v>15</v>
      </c>
      <c r="B1392" t="s">
        <v>1690</v>
      </c>
      <c r="C1392" t="s">
        <v>252</v>
      </c>
      <c r="D1392" t="s">
        <v>1785</v>
      </c>
      <c r="E1392" t="s">
        <v>19</v>
      </c>
      <c r="F1392" t="s">
        <v>1786</v>
      </c>
      <c r="G1392" s="1">
        <f>45889</f>
        <v>45889</v>
      </c>
      <c r="H1392" t="s">
        <v>51</v>
      </c>
      <c r="I1392" s="2">
        <v>153.16</v>
      </c>
      <c r="J1392" s="2">
        <v>87.91</v>
      </c>
      <c r="K1392" s="2">
        <v>65.25</v>
      </c>
      <c r="L1392" s="2">
        <v>42.6</v>
      </c>
      <c r="M1392" s="2">
        <v>153.16</v>
      </c>
      <c r="N1392" s="2">
        <v>87.91</v>
      </c>
      <c r="O1392" s="2">
        <v>56.25</v>
      </c>
      <c r="P1392" s="2">
        <v>42.6</v>
      </c>
    </row>
    <row r="1393" spans="1:16" x14ac:dyDescent="0.25">
      <c r="A1393" t="s">
        <v>15</v>
      </c>
      <c r="B1393" t="s">
        <v>1690</v>
      </c>
      <c r="C1393" t="s">
        <v>252</v>
      </c>
      <c r="D1393" t="s">
        <v>1787</v>
      </c>
      <c r="E1393" t="s">
        <v>19</v>
      </c>
      <c r="F1393" t="s">
        <v>292</v>
      </c>
      <c r="G1393" s="1">
        <f>45889</f>
        <v>45889</v>
      </c>
      <c r="H1393" t="s">
        <v>56</v>
      </c>
      <c r="I1393" s="2">
        <v>585</v>
      </c>
      <c r="J1393" s="2">
        <v>374.56</v>
      </c>
      <c r="K1393" s="2">
        <v>210.44</v>
      </c>
      <c r="L1393" s="2">
        <v>35.97</v>
      </c>
      <c r="M1393" s="2">
        <v>585</v>
      </c>
      <c r="N1393" s="2">
        <v>374.56</v>
      </c>
      <c r="O1393" s="2">
        <v>201.44</v>
      </c>
      <c r="P1393" s="2">
        <v>35.97</v>
      </c>
    </row>
    <row r="1394" spans="1:16" x14ac:dyDescent="0.25">
      <c r="A1394" t="s">
        <v>15</v>
      </c>
      <c r="B1394" t="s">
        <v>1690</v>
      </c>
      <c r="C1394" t="s">
        <v>252</v>
      </c>
      <c r="D1394" t="s">
        <v>1788</v>
      </c>
      <c r="E1394" t="s">
        <v>19</v>
      </c>
      <c r="F1394" t="s">
        <v>265</v>
      </c>
      <c r="G1394" s="1">
        <f>45890</f>
        <v>45890</v>
      </c>
      <c r="H1394" t="s">
        <v>56</v>
      </c>
      <c r="I1394" s="2">
        <v>267</v>
      </c>
      <c r="J1394" s="2">
        <v>79.010000000000005</v>
      </c>
      <c r="K1394" s="2">
        <v>187.99</v>
      </c>
      <c r="L1394" s="2">
        <v>70.41</v>
      </c>
      <c r="M1394" s="2">
        <v>267</v>
      </c>
      <c r="N1394" s="2">
        <v>79.010000000000005</v>
      </c>
      <c r="O1394" s="2">
        <v>161.99</v>
      </c>
      <c r="P1394" s="2">
        <v>70.41</v>
      </c>
    </row>
    <row r="1395" spans="1:16" x14ac:dyDescent="0.25">
      <c r="A1395" t="s">
        <v>15</v>
      </c>
      <c r="B1395" t="s">
        <v>1690</v>
      </c>
      <c r="C1395" t="s">
        <v>252</v>
      </c>
      <c r="D1395" t="s">
        <v>1789</v>
      </c>
      <c r="E1395" t="s">
        <v>19</v>
      </c>
      <c r="F1395" t="s">
        <v>1236</v>
      </c>
      <c r="G1395" s="1">
        <f>45890</f>
        <v>45890</v>
      </c>
      <c r="H1395" t="s">
        <v>56</v>
      </c>
      <c r="I1395" s="2">
        <v>150</v>
      </c>
      <c r="J1395" s="2">
        <v>28.74</v>
      </c>
      <c r="K1395" s="2">
        <v>121.26</v>
      </c>
      <c r="L1395" s="2">
        <v>80.84</v>
      </c>
      <c r="M1395" s="2">
        <v>150</v>
      </c>
      <c r="N1395" s="2">
        <v>28.74</v>
      </c>
      <c r="O1395" s="2">
        <v>112.26</v>
      </c>
      <c r="P1395" s="2">
        <v>80.84</v>
      </c>
    </row>
    <row r="1396" spans="1:16" x14ac:dyDescent="0.25">
      <c r="A1396" t="s">
        <v>15</v>
      </c>
      <c r="B1396" t="s">
        <v>1690</v>
      </c>
      <c r="C1396" t="s">
        <v>252</v>
      </c>
      <c r="D1396" t="s">
        <v>1790</v>
      </c>
      <c r="E1396" t="s">
        <v>19</v>
      </c>
      <c r="F1396" t="s">
        <v>269</v>
      </c>
      <c r="G1396" s="1">
        <f>45890</f>
        <v>45890</v>
      </c>
      <c r="H1396" t="s">
        <v>56</v>
      </c>
      <c r="I1396" s="2">
        <v>955.2</v>
      </c>
      <c r="J1396" s="2">
        <v>641.79999999999995</v>
      </c>
      <c r="K1396" s="2">
        <v>313.39999999999998</v>
      </c>
      <c r="L1396" s="2">
        <v>32.81</v>
      </c>
      <c r="M1396" s="2">
        <v>955.2</v>
      </c>
      <c r="N1396" s="2">
        <v>641.79999999999995</v>
      </c>
      <c r="O1396" s="2">
        <v>303.39999999999998</v>
      </c>
      <c r="P1396" s="2">
        <v>32.81</v>
      </c>
    </row>
    <row r="1397" spans="1:16" x14ac:dyDescent="0.25">
      <c r="A1397" t="s">
        <v>15</v>
      </c>
      <c r="B1397" t="s">
        <v>1690</v>
      </c>
      <c r="C1397" t="s">
        <v>252</v>
      </c>
      <c r="D1397" t="s">
        <v>1791</v>
      </c>
      <c r="E1397" t="s">
        <v>19</v>
      </c>
      <c r="F1397" t="s">
        <v>587</v>
      </c>
      <c r="G1397" s="1">
        <f>45890</f>
        <v>45890</v>
      </c>
      <c r="H1397" t="s">
        <v>51</v>
      </c>
      <c r="I1397" s="2">
        <v>892.1</v>
      </c>
      <c r="J1397" s="2">
        <v>639.29999999999995</v>
      </c>
      <c r="K1397" s="2">
        <v>252.8</v>
      </c>
      <c r="L1397" s="2">
        <v>28.34</v>
      </c>
      <c r="M1397" s="2">
        <v>892.1</v>
      </c>
      <c r="N1397" s="2">
        <v>639.29999999999995</v>
      </c>
      <c r="O1397" s="2">
        <v>205.4</v>
      </c>
      <c r="P1397" s="2">
        <v>28.34</v>
      </c>
    </row>
    <row r="1398" spans="1:16" x14ac:dyDescent="0.25">
      <c r="A1398" t="s">
        <v>15</v>
      </c>
      <c r="B1398" t="s">
        <v>1690</v>
      </c>
      <c r="C1398" t="s">
        <v>252</v>
      </c>
      <c r="D1398" t="s">
        <v>1792</v>
      </c>
      <c r="E1398" t="s">
        <v>19</v>
      </c>
      <c r="F1398" t="s">
        <v>830</v>
      </c>
      <c r="G1398" s="1">
        <f>45894</f>
        <v>45894</v>
      </c>
      <c r="H1398" t="s">
        <v>2422</v>
      </c>
      <c r="I1398" s="2">
        <v>198.6</v>
      </c>
      <c r="J1398" s="2">
        <v>160.66</v>
      </c>
      <c r="K1398" s="2">
        <v>37.94</v>
      </c>
      <c r="L1398" s="2">
        <v>19.100000000000001</v>
      </c>
      <c r="M1398" s="2">
        <v>198.6</v>
      </c>
      <c r="N1398" s="2">
        <v>160.66</v>
      </c>
      <c r="O1398" s="2">
        <v>-2.06</v>
      </c>
      <c r="P1398" s="2">
        <v>19.100000000000001</v>
      </c>
    </row>
    <row r="1399" spans="1:16" x14ac:dyDescent="0.25">
      <c r="A1399" t="s">
        <v>15</v>
      </c>
      <c r="B1399" t="s">
        <v>1690</v>
      </c>
      <c r="C1399" t="s">
        <v>252</v>
      </c>
      <c r="D1399" t="s">
        <v>1793</v>
      </c>
      <c r="E1399" t="s">
        <v>47</v>
      </c>
      <c r="F1399" t="s">
        <v>587</v>
      </c>
      <c r="G1399" s="1">
        <f>45894</f>
        <v>45894</v>
      </c>
      <c r="H1399" t="s">
        <v>2422</v>
      </c>
      <c r="I1399" s="2">
        <v>1915.5</v>
      </c>
      <c r="J1399" s="2">
        <v>1310.3499999999999</v>
      </c>
      <c r="K1399" s="2">
        <v>605.15</v>
      </c>
      <c r="L1399" s="2">
        <v>31.59</v>
      </c>
      <c r="M1399" s="2">
        <v>1915.5</v>
      </c>
      <c r="N1399" s="2">
        <v>1310.3499999999999</v>
      </c>
      <c r="O1399" s="2">
        <v>559.15</v>
      </c>
      <c r="P1399" s="2">
        <v>31.59</v>
      </c>
    </row>
    <row r="1400" spans="1:16" x14ac:dyDescent="0.25">
      <c r="A1400" t="s">
        <v>15</v>
      </c>
      <c r="B1400" t="s">
        <v>1690</v>
      </c>
      <c r="C1400" t="s">
        <v>252</v>
      </c>
      <c r="D1400" t="s">
        <v>1794</v>
      </c>
      <c r="E1400" t="s">
        <v>47</v>
      </c>
      <c r="F1400" t="s">
        <v>269</v>
      </c>
      <c r="G1400" s="1">
        <f>45895</f>
        <v>45895</v>
      </c>
      <c r="H1400" t="s">
        <v>2422</v>
      </c>
      <c r="I1400" s="2">
        <v>416.2</v>
      </c>
      <c r="J1400" s="2">
        <v>246.18</v>
      </c>
      <c r="K1400" s="2">
        <v>170.02</v>
      </c>
      <c r="L1400" s="2">
        <v>40.85</v>
      </c>
      <c r="M1400" s="2">
        <v>416.2</v>
      </c>
      <c r="N1400" s="2">
        <v>246.18</v>
      </c>
      <c r="O1400" s="2">
        <v>133.02000000000001</v>
      </c>
      <c r="P1400" s="2">
        <v>40.85</v>
      </c>
    </row>
    <row r="1401" spans="1:16" x14ac:dyDescent="0.25">
      <c r="A1401" t="s">
        <v>15</v>
      </c>
      <c r="B1401" t="s">
        <v>1690</v>
      </c>
      <c r="C1401" t="s">
        <v>252</v>
      </c>
      <c r="D1401" t="s">
        <v>1795</v>
      </c>
      <c r="E1401" t="s">
        <v>47</v>
      </c>
      <c r="F1401" t="s">
        <v>279</v>
      </c>
      <c r="G1401" s="1">
        <f>45896</f>
        <v>45896</v>
      </c>
      <c r="H1401" t="s">
        <v>2422</v>
      </c>
      <c r="I1401" s="2">
        <v>1403.9</v>
      </c>
      <c r="J1401" s="2">
        <v>924.08</v>
      </c>
      <c r="K1401" s="2">
        <v>479.82</v>
      </c>
      <c r="L1401" s="2">
        <v>34.18</v>
      </c>
      <c r="M1401" s="2">
        <v>1403.9</v>
      </c>
      <c r="N1401" s="2">
        <v>924.08</v>
      </c>
      <c r="O1401" s="2">
        <v>429.82</v>
      </c>
      <c r="P1401" s="2">
        <v>34.18</v>
      </c>
    </row>
    <row r="1402" spans="1:16" x14ac:dyDescent="0.25">
      <c r="A1402" t="s">
        <v>15</v>
      </c>
      <c r="B1402" t="s">
        <v>1690</v>
      </c>
      <c r="C1402" t="s">
        <v>252</v>
      </c>
      <c r="D1402" t="s">
        <v>1796</v>
      </c>
      <c r="E1402" t="s">
        <v>47</v>
      </c>
      <c r="F1402" t="s">
        <v>276</v>
      </c>
      <c r="G1402" s="1">
        <f>45896</f>
        <v>45896</v>
      </c>
      <c r="H1402" t="s">
        <v>2422</v>
      </c>
      <c r="I1402" s="2">
        <v>509.65</v>
      </c>
      <c r="J1402" s="2">
        <v>366.95</v>
      </c>
      <c r="K1402" s="2">
        <v>142.69999999999999</v>
      </c>
      <c r="L1402" s="2">
        <v>28</v>
      </c>
      <c r="M1402" s="2">
        <v>509.65</v>
      </c>
      <c r="N1402" s="2">
        <v>366.95</v>
      </c>
      <c r="O1402" s="2">
        <v>103.7</v>
      </c>
      <c r="P1402" s="2">
        <v>28</v>
      </c>
    </row>
    <row r="1403" spans="1:16" x14ac:dyDescent="0.25">
      <c r="A1403" t="s">
        <v>15</v>
      </c>
      <c r="B1403" t="s">
        <v>1690</v>
      </c>
      <c r="C1403" t="s">
        <v>252</v>
      </c>
      <c r="D1403" t="s">
        <v>1797</v>
      </c>
      <c r="E1403" t="s">
        <v>47</v>
      </c>
      <c r="F1403" t="s">
        <v>254</v>
      </c>
      <c r="G1403" s="1">
        <f>45898</f>
        <v>45898</v>
      </c>
      <c r="H1403" t="s">
        <v>2422</v>
      </c>
      <c r="I1403" s="2">
        <v>645.29999999999995</v>
      </c>
      <c r="J1403" s="2">
        <v>393.4</v>
      </c>
      <c r="K1403" s="2">
        <v>251.9</v>
      </c>
      <c r="L1403" s="2">
        <v>39.04</v>
      </c>
      <c r="M1403" s="2">
        <v>645.29999999999995</v>
      </c>
      <c r="N1403" s="2">
        <v>393.4</v>
      </c>
      <c r="O1403" s="2">
        <v>181.9</v>
      </c>
      <c r="P1403" s="2">
        <v>39.04</v>
      </c>
    </row>
    <row r="1404" spans="1:16" x14ac:dyDescent="0.25">
      <c r="A1404" t="s">
        <v>15</v>
      </c>
      <c r="B1404" t="s">
        <v>1690</v>
      </c>
      <c r="C1404" t="s">
        <v>252</v>
      </c>
      <c r="D1404" t="s">
        <v>1798</v>
      </c>
      <c r="E1404" t="s">
        <v>47</v>
      </c>
      <c r="F1404" t="s">
        <v>587</v>
      </c>
      <c r="G1404" s="1">
        <f>45898</f>
        <v>45898</v>
      </c>
      <c r="H1404" t="s">
        <v>2422</v>
      </c>
      <c r="I1404" s="2">
        <v>1816.8</v>
      </c>
      <c r="J1404" s="2">
        <v>1245.2</v>
      </c>
      <c r="K1404" s="2">
        <v>571.6</v>
      </c>
      <c r="L1404" s="2">
        <v>31.46</v>
      </c>
      <c r="M1404" s="2">
        <v>1816.8</v>
      </c>
      <c r="N1404" s="2">
        <v>1245.2</v>
      </c>
      <c r="O1404" s="2">
        <v>560.6</v>
      </c>
      <c r="P1404" s="2">
        <v>31.46</v>
      </c>
    </row>
    <row r="1405" spans="1:16" x14ac:dyDescent="0.25">
      <c r="A1405" t="s">
        <v>15</v>
      </c>
      <c r="B1405" t="s">
        <v>1690</v>
      </c>
      <c r="C1405" t="s">
        <v>1076</v>
      </c>
      <c r="D1405" t="s">
        <v>1799</v>
      </c>
      <c r="E1405" t="s">
        <v>47</v>
      </c>
      <c r="F1405" t="s">
        <v>1800</v>
      </c>
      <c r="G1405" s="1">
        <f>45887</f>
        <v>45887</v>
      </c>
      <c r="H1405" t="s">
        <v>56</v>
      </c>
      <c r="I1405" s="2">
        <v>3935</v>
      </c>
      <c r="J1405" s="2">
        <v>1710.65</v>
      </c>
      <c r="K1405" s="2">
        <v>2224.35</v>
      </c>
      <c r="L1405" s="2">
        <v>56.53</v>
      </c>
      <c r="M1405" s="2">
        <v>0</v>
      </c>
      <c r="N1405" s="2">
        <v>1052.02</v>
      </c>
      <c r="O1405" s="2">
        <v>0</v>
      </c>
      <c r="P1405" s="2">
        <v>0</v>
      </c>
    </row>
    <row r="1406" spans="1:16" x14ac:dyDescent="0.25">
      <c r="A1406" t="s">
        <v>15</v>
      </c>
      <c r="B1406" t="s">
        <v>1690</v>
      </c>
      <c r="C1406" t="s">
        <v>17</v>
      </c>
      <c r="D1406" t="s">
        <v>1801</v>
      </c>
      <c r="E1406" t="s">
        <v>47</v>
      </c>
      <c r="F1406" t="s">
        <v>322</v>
      </c>
      <c r="G1406" s="1">
        <f>45874</f>
        <v>45874</v>
      </c>
      <c r="H1406" t="s">
        <v>2422</v>
      </c>
      <c r="I1406" s="2">
        <v>1541.6</v>
      </c>
      <c r="J1406" s="2">
        <v>1018.13</v>
      </c>
      <c r="K1406" s="2">
        <v>523.47</v>
      </c>
      <c r="L1406" s="2">
        <v>33.96</v>
      </c>
      <c r="M1406" s="2">
        <v>1541.6</v>
      </c>
      <c r="N1406" s="2">
        <v>1020.99</v>
      </c>
      <c r="O1406" s="2">
        <v>470.61</v>
      </c>
      <c r="P1406" s="2">
        <v>33.770000000000003</v>
      </c>
    </row>
    <row r="1407" spans="1:16" x14ac:dyDescent="0.25">
      <c r="A1407" t="s">
        <v>15</v>
      </c>
      <c r="B1407" t="s">
        <v>1690</v>
      </c>
      <c r="C1407" t="s">
        <v>17</v>
      </c>
      <c r="D1407" t="s">
        <v>1802</v>
      </c>
      <c r="E1407" t="s">
        <v>19</v>
      </c>
      <c r="F1407" t="s">
        <v>333</v>
      </c>
      <c r="G1407" s="1">
        <f>45873</f>
        <v>45873</v>
      </c>
      <c r="H1407" t="s">
        <v>2422</v>
      </c>
      <c r="I1407" s="2">
        <v>4100</v>
      </c>
      <c r="J1407" s="2">
        <v>2788</v>
      </c>
      <c r="K1407" s="2">
        <v>1312</v>
      </c>
      <c r="L1407" s="2">
        <v>32</v>
      </c>
      <c r="M1407" s="2">
        <v>4100</v>
      </c>
      <c r="N1407" s="2">
        <v>2788</v>
      </c>
      <c r="O1407" s="2">
        <v>1268</v>
      </c>
      <c r="P1407" s="2">
        <v>32</v>
      </c>
    </row>
    <row r="1408" spans="1:16" x14ac:dyDescent="0.25">
      <c r="A1408" t="s">
        <v>15</v>
      </c>
      <c r="B1408" t="s">
        <v>1690</v>
      </c>
      <c r="C1408" t="s">
        <v>17</v>
      </c>
      <c r="D1408" t="s">
        <v>1803</v>
      </c>
      <c r="E1408" t="s">
        <v>47</v>
      </c>
      <c r="F1408" t="s">
        <v>1804</v>
      </c>
      <c r="G1408" s="1">
        <f>45874</f>
        <v>45874</v>
      </c>
      <c r="H1408" t="s">
        <v>2422</v>
      </c>
      <c r="I1408" s="2">
        <v>319.7</v>
      </c>
      <c r="J1408" s="2">
        <v>179.8</v>
      </c>
      <c r="K1408" s="2">
        <v>139.9</v>
      </c>
      <c r="L1408" s="2">
        <v>43.76</v>
      </c>
      <c r="M1408" s="2">
        <v>319.7</v>
      </c>
      <c r="N1408" s="2">
        <v>179.8</v>
      </c>
      <c r="O1408" s="2">
        <v>130.9</v>
      </c>
      <c r="P1408" s="2">
        <v>43.76</v>
      </c>
    </row>
    <row r="1409" spans="1:16" x14ac:dyDescent="0.25">
      <c r="A1409" t="s">
        <v>15</v>
      </c>
      <c r="B1409" t="s">
        <v>1690</v>
      </c>
      <c r="C1409" t="s">
        <v>17</v>
      </c>
      <c r="D1409" t="s">
        <v>1805</v>
      </c>
      <c r="E1409" t="s">
        <v>19</v>
      </c>
      <c r="F1409" t="s">
        <v>20</v>
      </c>
      <c r="G1409" s="1">
        <f>45874</f>
        <v>45874</v>
      </c>
      <c r="H1409" t="s">
        <v>2422</v>
      </c>
      <c r="I1409" s="2">
        <v>337.8</v>
      </c>
      <c r="J1409" s="2">
        <v>240.47</v>
      </c>
      <c r="K1409" s="2">
        <v>97.33</v>
      </c>
      <c r="L1409" s="2">
        <v>28.81</v>
      </c>
      <c r="M1409" s="2">
        <v>337.8</v>
      </c>
      <c r="N1409" s="2">
        <v>240.47</v>
      </c>
      <c r="O1409" s="2">
        <v>73.33</v>
      </c>
      <c r="P1409" s="2">
        <v>28.81</v>
      </c>
    </row>
    <row r="1410" spans="1:16" x14ac:dyDescent="0.25">
      <c r="A1410" t="s">
        <v>15</v>
      </c>
      <c r="B1410" t="s">
        <v>1690</v>
      </c>
      <c r="C1410" t="s">
        <v>17</v>
      </c>
      <c r="D1410" t="s">
        <v>1806</v>
      </c>
      <c r="E1410" t="s">
        <v>19</v>
      </c>
      <c r="F1410" t="s">
        <v>871</v>
      </c>
      <c r="G1410" s="1">
        <f>45874</f>
        <v>45874</v>
      </c>
      <c r="H1410" t="s">
        <v>2422</v>
      </c>
      <c r="I1410" s="2">
        <v>680.3</v>
      </c>
      <c r="J1410" s="2">
        <v>462.6</v>
      </c>
      <c r="K1410" s="2">
        <v>217.7</v>
      </c>
      <c r="L1410" s="2">
        <v>32</v>
      </c>
      <c r="M1410" s="2">
        <v>680.3</v>
      </c>
      <c r="N1410" s="2">
        <v>462.6</v>
      </c>
      <c r="O1410" s="2">
        <v>208.7</v>
      </c>
      <c r="P1410" s="2">
        <v>32</v>
      </c>
    </row>
    <row r="1411" spans="1:16" x14ac:dyDescent="0.25">
      <c r="A1411" t="s">
        <v>15</v>
      </c>
      <c r="B1411" t="s">
        <v>1690</v>
      </c>
      <c r="C1411" t="s">
        <v>17</v>
      </c>
      <c r="D1411" t="s">
        <v>1807</v>
      </c>
      <c r="E1411" t="s">
        <v>19</v>
      </c>
      <c r="F1411" t="s">
        <v>316</v>
      </c>
      <c r="G1411" s="1">
        <f>45876</f>
        <v>45876</v>
      </c>
      <c r="H1411" t="s">
        <v>2422</v>
      </c>
      <c r="I1411" s="2">
        <v>535.4</v>
      </c>
      <c r="J1411" s="2">
        <v>358.1</v>
      </c>
      <c r="K1411" s="2">
        <v>177.3</v>
      </c>
      <c r="L1411" s="2">
        <v>33.119999999999997</v>
      </c>
      <c r="M1411" s="2">
        <v>535.4</v>
      </c>
      <c r="N1411" s="2">
        <v>358.1</v>
      </c>
      <c r="O1411" s="2">
        <v>129.30000000000001</v>
      </c>
      <c r="P1411" s="2">
        <v>33.119999999999997</v>
      </c>
    </row>
    <row r="1412" spans="1:16" x14ac:dyDescent="0.25">
      <c r="A1412" t="s">
        <v>15</v>
      </c>
      <c r="B1412" t="s">
        <v>1690</v>
      </c>
      <c r="C1412" t="s">
        <v>17</v>
      </c>
      <c r="D1412" t="s">
        <v>1808</v>
      </c>
      <c r="E1412" t="s">
        <v>47</v>
      </c>
      <c r="F1412" t="s">
        <v>384</v>
      </c>
      <c r="G1412" s="1">
        <f>45876</f>
        <v>45876</v>
      </c>
      <c r="H1412" t="s">
        <v>2422</v>
      </c>
      <c r="I1412" s="2">
        <v>242</v>
      </c>
      <c r="J1412" s="2">
        <v>160.65</v>
      </c>
      <c r="K1412" s="2">
        <v>81.349999999999994</v>
      </c>
      <c r="L1412" s="2">
        <v>33.619999999999997</v>
      </c>
      <c r="M1412" s="2">
        <v>242</v>
      </c>
      <c r="N1412" s="2">
        <v>160.65</v>
      </c>
      <c r="O1412" s="2">
        <v>64.349999999999994</v>
      </c>
      <c r="P1412" s="2">
        <v>33.619999999999997</v>
      </c>
    </row>
    <row r="1413" spans="1:16" x14ac:dyDescent="0.25">
      <c r="A1413" t="s">
        <v>15</v>
      </c>
      <c r="B1413" t="s">
        <v>1690</v>
      </c>
      <c r="C1413" t="s">
        <v>17</v>
      </c>
      <c r="D1413" t="s">
        <v>1809</v>
      </c>
      <c r="E1413" t="s">
        <v>19</v>
      </c>
      <c r="F1413" t="s">
        <v>1122</v>
      </c>
      <c r="G1413" s="1">
        <f>45876</f>
        <v>45876</v>
      </c>
      <c r="H1413" t="s">
        <v>2422</v>
      </c>
      <c r="I1413" s="2">
        <v>1914.2</v>
      </c>
      <c r="J1413" s="2">
        <v>1331.36</v>
      </c>
      <c r="K1413" s="2">
        <v>582.84</v>
      </c>
      <c r="L1413" s="2">
        <v>30.45</v>
      </c>
      <c r="M1413" s="2">
        <v>1914.2</v>
      </c>
      <c r="N1413" s="2">
        <v>1331.36</v>
      </c>
      <c r="O1413" s="2">
        <v>542.84</v>
      </c>
      <c r="P1413" s="2">
        <v>30.45</v>
      </c>
    </row>
    <row r="1414" spans="1:16" x14ac:dyDescent="0.25">
      <c r="A1414" t="s">
        <v>15</v>
      </c>
      <c r="B1414" t="s">
        <v>1690</v>
      </c>
      <c r="C1414" t="s">
        <v>17</v>
      </c>
      <c r="D1414" t="s">
        <v>1810</v>
      </c>
      <c r="E1414" t="s">
        <v>19</v>
      </c>
      <c r="F1414" t="s">
        <v>311</v>
      </c>
      <c r="G1414" s="1">
        <f>45877</f>
        <v>45877</v>
      </c>
      <c r="H1414" t="s">
        <v>2422</v>
      </c>
      <c r="I1414" s="2">
        <v>154.65</v>
      </c>
      <c r="J1414" s="2">
        <v>99.2</v>
      </c>
      <c r="K1414" s="2">
        <v>55.45</v>
      </c>
      <c r="L1414" s="2">
        <v>35.86</v>
      </c>
      <c r="M1414" s="2">
        <v>154.65</v>
      </c>
      <c r="N1414" s="2">
        <v>99.2</v>
      </c>
      <c r="O1414" s="2">
        <v>26.45</v>
      </c>
      <c r="P1414" s="2">
        <v>35.86</v>
      </c>
    </row>
    <row r="1415" spans="1:16" x14ac:dyDescent="0.25">
      <c r="A1415" t="s">
        <v>15</v>
      </c>
      <c r="B1415" t="s">
        <v>1690</v>
      </c>
      <c r="C1415" t="s">
        <v>17</v>
      </c>
      <c r="D1415" t="s">
        <v>1811</v>
      </c>
      <c r="E1415" t="s">
        <v>47</v>
      </c>
      <c r="F1415" t="s">
        <v>309</v>
      </c>
      <c r="G1415" s="1">
        <f>45877</f>
        <v>45877</v>
      </c>
      <c r="H1415" t="s">
        <v>2422</v>
      </c>
      <c r="I1415" s="2">
        <v>642</v>
      </c>
      <c r="J1415" s="2">
        <v>430.1</v>
      </c>
      <c r="K1415" s="2">
        <v>211.9</v>
      </c>
      <c r="L1415" s="2">
        <v>33.01</v>
      </c>
      <c r="M1415" s="2">
        <v>642</v>
      </c>
      <c r="N1415" s="2">
        <v>430.1</v>
      </c>
      <c r="O1415" s="2">
        <v>172.9</v>
      </c>
      <c r="P1415" s="2">
        <v>33.01</v>
      </c>
    </row>
    <row r="1416" spans="1:16" x14ac:dyDescent="0.25">
      <c r="A1416" t="s">
        <v>15</v>
      </c>
      <c r="B1416" t="s">
        <v>1690</v>
      </c>
      <c r="C1416" t="s">
        <v>17</v>
      </c>
      <c r="D1416" t="s">
        <v>1812</v>
      </c>
      <c r="E1416" t="s">
        <v>47</v>
      </c>
      <c r="F1416" t="s">
        <v>353</v>
      </c>
      <c r="G1416" s="1">
        <f>45880</f>
        <v>45880</v>
      </c>
      <c r="H1416" t="s">
        <v>56</v>
      </c>
      <c r="I1416" s="2">
        <v>176.2</v>
      </c>
      <c r="J1416" s="2">
        <v>58.84</v>
      </c>
      <c r="K1416" s="2">
        <v>117.36</v>
      </c>
      <c r="L1416" s="2">
        <v>66.61</v>
      </c>
      <c r="M1416" s="2">
        <v>176.2</v>
      </c>
      <c r="N1416" s="2">
        <v>58.84</v>
      </c>
      <c r="O1416" s="2">
        <v>92.36</v>
      </c>
      <c r="P1416" s="2">
        <v>66.61</v>
      </c>
    </row>
    <row r="1417" spans="1:16" x14ac:dyDescent="0.25">
      <c r="A1417" t="s">
        <v>15</v>
      </c>
      <c r="B1417" t="s">
        <v>1690</v>
      </c>
      <c r="C1417" t="s">
        <v>17</v>
      </c>
      <c r="D1417" t="s">
        <v>1813</v>
      </c>
      <c r="E1417" t="s">
        <v>19</v>
      </c>
      <c r="F1417" t="s">
        <v>313</v>
      </c>
      <c r="G1417" s="1">
        <f>45880</f>
        <v>45880</v>
      </c>
      <c r="H1417" t="s">
        <v>56</v>
      </c>
      <c r="I1417" s="2">
        <v>586.70000000000005</v>
      </c>
      <c r="J1417" s="2">
        <v>392.99</v>
      </c>
      <c r="K1417" s="2">
        <v>193.71</v>
      </c>
      <c r="L1417" s="2">
        <v>33.020000000000003</v>
      </c>
      <c r="M1417" s="2">
        <v>586.70000000000005</v>
      </c>
      <c r="N1417" s="2">
        <v>392.99</v>
      </c>
      <c r="O1417" s="2">
        <v>184.71</v>
      </c>
      <c r="P1417" s="2">
        <v>33.020000000000003</v>
      </c>
    </row>
    <row r="1418" spans="1:16" x14ac:dyDescent="0.25">
      <c r="A1418" t="s">
        <v>15</v>
      </c>
      <c r="B1418" t="s">
        <v>1690</v>
      </c>
      <c r="C1418" t="s">
        <v>17</v>
      </c>
      <c r="D1418" t="s">
        <v>1814</v>
      </c>
      <c r="E1418" t="s">
        <v>19</v>
      </c>
      <c r="F1418" t="s">
        <v>388</v>
      </c>
      <c r="G1418" s="1">
        <f>45880</f>
        <v>45880</v>
      </c>
      <c r="H1418" t="s">
        <v>56</v>
      </c>
      <c r="I1418" s="2">
        <v>1744.3</v>
      </c>
      <c r="J1418" s="2">
        <v>1180.32</v>
      </c>
      <c r="K1418" s="2">
        <v>563.98</v>
      </c>
      <c r="L1418" s="2">
        <v>32.33</v>
      </c>
      <c r="M1418" s="2">
        <v>1744.3</v>
      </c>
      <c r="N1418" s="2">
        <v>1180.32</v>
      </c>
      <c r="O1418" s="2">
        <v>553.45000000000005</v>
      </c>
      <c r="P1418" s="2">
        <v>32.33</v>
      </c>
    </row>
    <row r="1419" spans="1:16" x14ac:dyDescent="0.25">
      <c r="A1419" t="s">
        <v>15</v>
      </c>
      <c r="B1419" t="s">
        <v>1690</v>
      </c>
      <c r="C1419" t="s">
        <v>17</v>
      </c>
      <c r="D1419" t="s">
        <v>1815</v>
      </c>
      <c r="E1419" t="s">
        <v>19</v>
      </c>
      <c r="F1419" t="s">
        <v>370</v>
      </c>
      <c r="G1419" s="1">
        <f>45880</f>
        <v>45880</v>
      </c>
      <c r="H1419" t="s">
        <v>56</v>
      </c>
      <c r="I1419" s="2">
        <v>150</v>
      </c>
      <c r="J1419" s="2">
        <v>81.650000000000006</v>
      </c>
      <c r="K1419" s="2">
        <v>68.349999999999994</v>
      </c>
      <c r="L1419" s="2">
        <v>45.57</v>
      </c>
      <c r="M1419" s="2">
        <v>150</v>
      </c>
      <c r="N1419" s="2">
        <v>80.239999999999995</v>
      </c>
      <c r="O1419" s="2">
        <v>58.63</v>
      </c>
      <c r="P1419" s="2">
        <v>46.51</v>
      </c>
    </row>
    <row r="1420" spans="1:16" x14ac:dyDescent="0.25">
      <c r="A1420" t="s">
        <v>15</v>
      </c>
      <c r="B1420" t="s">
        <v>1690</v>
      </c>
      <c r="C1420" t="s">
        <v>17</v>
      </c>
      <c r="D1420" t="s">
        <v>1816</v>
      </c>
      <c r="E1420" t="s">
        <v>19</v>
      </c>
      <c r="F1420" t="s">
        <v>372</v>
      </c>
      <c r="G1420" s="1">
        <f>45881</f>
        <v>45881</v>
      </c>
      <c r="H1420" t="s">
        <v>56</v>
      </c>
      <c r="I1420" s="2">
        <v>852.9</v>
      </c>
      <c r="J1420" s="2">
        <v>572</v>
      </c>
      <c r="K1420" s="2">
        <v>280.89999999999998</v>
      </c>
      <c r="L1420" s="2">
        <v>32.93</v>
      </c>
      <c r="M1420" s="2">
        <v>852.9</v>
      </c>
      <c r="N1420" s="2">
        <v>572</v>
      </c>
      <c r="O1420" s="2">
        <v>233.9</v>
      </c>
      <c r="P1420" s="2">
        <v>32.93</v>
      </c>
    </row>
    <row r="1421" spans="1:16" x14ac:dyDescent="0.25">
      <c r="A1421" t="s">
        <v>15</v>
      </c>
      <c r="B1421" t="s">
        <v>1690</v>
      </c>
      <c r="C1421" t="s">
        <v>17</v>
      </c>
      <c r="D1421" t="s">
        <v>1817</v>
      </c>
      <c r="E1421" t="s">
        <v>19</v>
      </c>
      <c r="F1421" t="s">
        <v>316</v>
      </c>
      <c r="G1421" s="1">
        <f>45882</f>
        <v>45882</v>
      </c>
      <c r="H1421" t="s">
        <v>56</v>
      </c>
      <c r="I1421" s="2">
        <v>1522.6</v>
      </c>
      <c r="J1421" s="2">
        <v>1889.93</v>
      </c>
      <c r="K1421" s="2">
        <v>-367.33</v>
      </c>
      <c r="L1421" s="2">
        <v>-24.13</v>
      </c>
      <c r="M1421" s="2">
        <v>1522.6</v>
      </c>
      <c r="N1421" s="2">
        <v>1889.93</v>
      </c>
      <c r="O1421" s="2">
        <v>-409.33</v>
      </c>
      <c r="P1421" s="2">
        <v>-24.13</v>
      </c>
    </row>
    <row r="1422" spans="1:16" x14ac:dyDescent="0.25">
      <c r="A1422" t="s">
        <v>15</v>
      </c>
      <c r="B1422" t="s">
        <v>1690</v>
      </c>
      <c r="C1422" t="s">
        <v>17</v>
      </c>
      <c r="D1422" t="s">
        <v>1818</v>
      </c>
      <c r="E1422" t="s">
        <v>19</v>
      </c>
      <c r="F1422" t="s">
        <v>28</v>
      </c>
      <c r="G1422" s="1">
        <f>45882</f>
        <v>45882</v>
      </c>
      <c r="H1422" t="s">
        <v>56</v>
      </c>
      <c r="I1422" s="2">
        <v>388</v>
      </c>
      <c r="J1422" s="2">
        <v>232.8</v>
      </c>
      <c r="K1422" s="2">
        <v>155.19999999999999</v>
      </c>
      <c r="L1422" s="2">
        <v>40</v>
      </c>
      <c r="M1422" s="2">
        <v>388</v>
      </c>
      <c r="N1422" s="2">
        <v>232.8</v>
      </c>
      <c r="O1422" s="2">
        <v>155.19999999999999</v>
      </c>
      <c r="P1422" s="2">
        <v>40</v>
      </c>
    </row>
    <row r="1423" spans="1:16" x14ac:dyDescent="0.25">
      <c r="A1423" t="s">
        <v>15</v>
      </c>
      <c r="B1423" t="s">
        <v>1690</v>
      </c>
      <c r="C1423" t="s">
        <v>17</v>
      </c>
      <c r="D1423" t="s">
        <v>1819</v>
      </c>
      <c r="E1423" t="s">
        <v>47</v>
      </c>
      <c r="F1423" t="s">
        <v>333</v>
      </c>
      <c r="G1423" s="1">
        <f>45889</f>
        <v>45889</v>
      </c>
      <c r="H1423" t="s">
        <v>56</v>
      </c>
      <c r="I1423" s="2">
        <v>565.20000000000005</v>
      </c>
      <c r="J1423" s="2">
        <v>281.10000000000002</v>
      </c>
      <c r="K1423" s="2">
        <v>284.10000000000002</v>
      </c>
      <c r="L1423" s="2">
        <v>50.27</v>
      </c>
      <c r="M1423" s="2">
        <v>565.20000000000005</v>
      </c>
      <c r="N1423" s="2">
        <v>281.10000000000002</v>
      </c>
      <c r="O1423" s="2">
        <v>252.6</v>
      </c>
      <c r="P1423" s="2">
        <v>50.27</v>
      </c>
    </row>
    <row r="1424" spans="1:16" x14ac:dyDescent="0.25">
      <c r="A1424" t="s">
        <v>15</v>
      </c>
      <c r="B1424" t="s">
        <v>1690</v>
      </c>
      <c r="C1424" t="s">
        <v>17</v>
      </c>
      <c r="D1424" t="s">
        <v>1820</v>
      </c>
      <c r="E1424" t="s">
        <v>19</v>
      </c>
      <c r="F1424" t="s">
        <v>342</v>
      </c>
      <c r="G1424" s="1">
        <f>45889</f>
        <v>45889</v>
      </c>
      <c r="H1424" t="s">
        <v>56</v>
      </c>
      <c r="I1424" s="2">
        <v>208.6</v>
      </c>
      <c r="J1424" s="2">
        <v>70.900000000000006</v>
      </c>
      <c r="K1424" s="2">
        <v>137.69999999999999</v>
      </c>
      <c r="L1424" s="2">
        <v>66.010000000000005</v>
      </c>
      <c r="M1424" s="2">
        <v>208.6</v>
      </c>
      <c r="N1424" s="2">
        <v>70.900000000000006</v>
      </c>
      <c r="O1424" s="2">
        <v>103.7</v>
      </c>
      <c r="P1424" s="2">
        <v>66.010000000000005</v>
      </c>
    </row>
    <row r="1425" spans="1:16" x14ac:dyDescent="0.25">
      <c r="A1425" t="s">
        <v>15</v>
      </c>
      <c r="B1425" t="s">
        <v>1690</v>
      </c>
      <c r="C1425" t="s">
        <v>17</v>
      </c>
      <c r="D1425" t="s">
        <v>1821</v>
      </c>
      <c r="E1425" t="s">
        <v>19</v>
      </c>
      <c r="F1425" t="s">
        <v>20</v>
      </c>
      <c r="G1425" s="1">
        <f>45890</f>
        <v>45890</v>
      </c>
      <c r="H1425" t="s">
        <v>56</v>
      </c>
      <c r="I1425" s="2">
        <v>1379.8</v>
      </c>
      <c r="J1425" s="2">
        <v>965.83</v>
      </c>
      <c r="K1425" s="2">
        <v>413.97</v>
      </c>
      <c r="L1425" s="2">
        <v>30</v>
      </c>
      <c r="M1425" s="2">
        <v>1379.8</v>
      </c>
      <c r="N1425" s="2">
        <v>965.83</v>
      </c>
      <c r="O1425" s="2">
        <v>398.97</v>
      </c>
      <c r="P1425" s="2">
        <v>30</v>
      </c>
    </row>
    <row r="1426" spans="1:16" x14ac:dyDescent="0.25">
      <c r="A1426" t="s">
        <v>15</v>
      </c>
      <c r="B1426" t="s">
        <v>1690</v>
      </c>
      <c r="C1426" t="s">
        <v>17</v>
      </c>
      <c r="D1426" t="s">
        <v>1822</v>
      </c>
      <c r="E1426" t="s">
        <v>19</v>
      </c>
      <c r="F1426" t="s">
        <v>337</v>
      </c>
      <c r="G1426" s="1">
        <f>45890</f>
        <v>45890</v>
      </c>
      <c r="H1426" t="s">
        <v>56</v>
      </c>
      <c r="I1426" s="2">
        <v>288.39999999999998</v>
      </c>
      <c r="J1426" s="2">
        <v>186.02</v>
      </c>
      <c r="K1426" s="2">
        <v>102.38</v>
      </c>
      <c r="L1426" s="2">
        <v>35.5</v>
      </c>
      <c r="M1426" s="2">
        <v>288.39999999999998</v>
      </c>
      <c r="N1426" s="2">
        <v>186.02</v>
      </c>
      <c r="O1426" s="2">
        <v>93.38</v>
      </c>
      <c r="P1426" s="2">
        <v>35.5</v>
      </c>
    </row>
    <row r="1427" spans="1:16" x14ac:dyDescent="0.25">
      <c r="A1427" t="s">
        <v>15</v>
      </c>
      <c r="B1427" t="s">
        <v>1690</v>
      </c>
      <c r="C1427" t="s">
        <v>17</v>
      </c>
      <c r="D1427" t="s">
        <v>1823</v>
      </c>
      <c r="E1427" t="s">
        <v>47</v>
      </c>
      <c r="F1427" t="s">
        <v>333</v>
      </c>
      <c r="G1427" s="1">
        <f>45894</f>
        <v>45894</v>
      </c>
      <c r="H1427" t="s">
        <v>2422</v>
      </c>
      <c r="I1427" s="2">
        <v>493.7</v>
      </c>
      <c r="J1427" s="2">
        <v>278.60000000000002</v>
      </c>
      <c r="K1427" s="2">
        <v>215.1</v>
      </c>
      <c r="L1427" s="2">
        <v>43.57</v>
      </c>
      <c r="M1427" s="2">
        <v>493.7</v>
      </c>
      <c r="N1427" s="2">
        <v>278.60000000000002</v>
      </c>
      <c r="O1427" s="2">
        <v>180.1</v>
      </c>
      <c r="P1427" s="2">
        <v>43.57</v>
      </c>
    </row>
    <row r="1428" spans="1:16" x14ac:dyDescent="0.25">
      <c r="A1428" t="s">
        <v>15</v>
      </c>
      <c r="B1428" t="s">
        <v>1690</v>
      </c>
      <c r="C1428" t="s">
        <v>17</v>
      </c>
      <c r="D1428" t="s">
        <v>1824</v>
      </c>
      <c r="E1428" t="s">
        <v>47</v>
      </c>
      <c r="F1428" t="s">
        <v>626</v>
      </c>
      <c r="G1428" s="1">
        <f>45894</f>
        <v>45894</v>
      </c>
      <c r="H1428" t="s">
        <v>2422</v>
      </c>
      <c r="I1428" s="2">
        <v>5931.6</v>
      </c>
      <c r="J1428" s="2">
        <v>3988.97</v>
      </c>
      <c r="K1428" s="2">
        <v>1942.63</v>
      </c>
      <c r="L1428" s="2">
        <v>32.75</v>
      </c>
      <c r="M1428" s="2">
        <v>5931.6</v>
      </c>
      <c r="N1428" s="2">
        <v>3988.97</v>
      </c>
      <c r="O1428" s="2">
        <v>1796.17</v>
      </c>
      <c r="P1428" s="2">
        <v>32.75</v>
      </c>
    </row>
    <row r="1429" spans="1:16" x14ac:dyDescent="0.25">
      <c r="A1429" t="s">
        <v>15</v>
      </c>
      <c r="B1429" t="s">
        <v>1690</v>
      </c>
      <c r="C1429" t="s">
        <v>17</v>
      </c>
      <c r="D1429" t="s">
        <v>1825</v>
      </c>
      <c r="E1429" t="s">
        <v>47</v>
      </c>
      <c r="F1429" t="s">
        <v>333</v>
      </c>
      <c r="G1429" s="1">
        <f>45894</f>
        <v>45894</v>
      </c>
      <c r="H1429" t="s">
        <v>2422</v>
      </c>
      <c r="I1429" s="2">
        <v>2780</v>
      </c>
      <c r="J1429" s="2">
        <v>1749</v>
      </c>
      <c r="K1429" s="2">
        <v>1031</v>
      </c>
      <c r="L1429" s="2">
        <v>37.090000000000003</v>
      </c>
      <c r="M1429" s="2">
        <v>2780</v>
      </c>
      <c r="N1429" s="2">
        <v>1749</v>
      </c>
      <c r="O1429" s="2">
        <v>1031</v>
      </c>
      <c r="P1429" s="2">
        <v>37.090000000000003</v>
      </c>
    </row>
    <row r="1430" spans="1:16" x14ac:dyDescent="0.25">
      <c r="A1430" t="s">
        <v>15</v>
      </c>
      <c r="B1430" t="s">
        <v>1690</v>
      </c>
      <c r="C1430" t="s">
        <v>17</v>
      </c>
      <c r="D1430" t="s">
        <v>1826</v>
      </c>
      <c r="E1430" t="s">
        <v>47</v>
      </c>
      <c r="F1430" t="s">
        <v>392</v>
      </c>
      <c r="G1430" s="1">
        <f>45894</f>
        <v>45894</v>
      </c>
      <c r="H1430" t="s">
        <v>2422</v>
      </c>
      <c r="I1430" s="2">
        <v>301.39999999999998</v>
      </c>
      <c r="J1430" s="2">
        <v>199.01</v>
      </c>
      <c r="K1430" s="2">
        <v>102.39</v>
      </c>
      <c r="L1430" s="2">
        <v>33.97</v>
      </c>
      <c r="M1430" s="2">
        <v>301.39999999999998</v>
      </c>
      <c r="N1430" s="2">
        <v>199</v>
      </c>
      <c r="O1430" s="2">
        <v>68.400000000000006</v>
      </c>
      <c r="P1430" s="2">
        <v>33.97</v>
      </c>
    </row>
    <row r="1431" spans="1:16" x14ac:dyDescent="0.25">
      <c r="A1431" t="s">
        <v>15</v>
      </c>
      <c r="B1431" t="s">
        <v>1690</v>
      </c>
      <c r="C1431" t="s">
        <v>17</v>
      </c>
      <c r="D1431" t="s">
        <v>1827</v>
      </c>
      <c r="E1431" t="s">
        <v>47</v>
      </c>
      <c r="F1431" t="s">
        <v>20</v>
      </c>
      <c r="G1431" s="1">
        <f>45895</f>
        <v>45895</v>
      </c>
      <c r="H1431" t="s">
        <v>2422</v>
      </c>
      <c r="I1431" s="2">
        <v>960.2</v>
      </c>
      <c r="J1431" s="2">
        <v>667.95</v>
      </c>
      <c r="K1431" s="2">
        <v>292.25</v>
      </c>
      <c r="L1431" s="2">
        <v>30.44</v>
      </c>
      <c r="M1431" s="2">
        <v>960.2</v>
      </c>
      <c r="N1431" s="2">
        <v>667.95</v>
      </c>
      <c r="O1431" s="2">
        <v>277.25</v>
      </c>
      <c r="P1431" s="2">
        <v>30.44</v>
      </c>
    </row>
    <row r="1432" spans="1:16" x14ac:dyDescent="0.25">
      <c r="A1432" t="s">
        <v>15</v>
      </c>
      <c r="B1432" t="s">
        <v>1690</v>
      </c>
      <c r="C1432" t="s">
        <v>17</v>
      </c>
      <c r="D1432" t="s">
        <v>1828</v>
      </c>
      <c r="E1432" t="s">
        <v>47</v>
      </c>
      <c r="F1432" t="s">
        <v>904</v>
      </c>
      <c r="G1432" s="1">
        <f>45895</f>
        <v>45895</v>
      </c>
      <c r="H1432" t="s">
        <v>2422</v>
      </c>
      <c r="I1432" s="2">
        <v>330.15</v>
      </c>
      <c r="J1432" s="2">
        <v>224.5</v>
      </c>
      <c r="K1432" s="2">
        <v>105.65</v>
      </c>
      <c r="L1432" s="2">
        <v>32</v>
      </c>
      <c r="M1432" s="2">
        <v>330.15</v>
      </c>
      <c r="N1432" s="2">
        <v>224.5</v>
      </c>
      <c r="O1432" s="2">
        <v>66.650000000000006</v>
      </c>
      <c r="P1432" s="2">
        <v>32</v>
      </c>
    </row>
    <row r="1433" spans="1:16" x14ac:dyDescent="0.25">
      <c r="A1433" t="s">
        <v>15</v>
      </c>
      <c r="B1433" t="s">
        <v>1690</v>
      </c>
      <c r="C1433" t="s">
        <v>17</v>
      </c>
      <c r="D1433" t="s">
        <v>1829</v>
      </c>
      <c r="E1433" t="s">
        <v>47</v>
      </c>
      <c r="F1433" t="s">
        <v>331</v>
      </c>
      <c r="G1433" s="1">
        <f>45895</f>
        <v>45895</v>
      </c>
      <c r="H1433" t="s">
        <v>2422</v>
      </c>
      <c r="I1433" s="2">
        <v>3402.9</v>
      </c>
      <c r="J1433" s="2">
        <v>2309.08</v>
      </c>
      <c r="K1433" s="2">
        <v>1093.82</v>
      </c>
      <c r="L1433" s="2">
        <v>32.14</v>
      </c>
      <c r="M1433" s="2">
        <v>3402.9</v>
      </c>
      <c r="N1433" s="2">
        <v>2309.08</v>
      </c>
      <c r="O1433" s="2">
        <v>1055.82</v>
      </c>
      <c r="P1433" s="2">
        <v>32.14</v>
      </c>
    </row>
    <row r="1434" spans="1:16" x14ac:dyDescent="0.25">
      <c r="A1434" t="s">
        <v>15</v>
      </c>
      <c r="B1434" t="s">
        <v>1690</v>
      </c>
      <c r="C1434" t="s">
        <v>17</v>
      </c>
      <c r="D1434" t="s">
        <v>1830</v>
      </c>
      <c r="E1434" t="s">
        <v>47</v>
      </c>
      <c r="F1434" t="s">
        <v>320</v>
      </c>
      <c r="G1434" s="1">
        <f>45895</f>
        <v>45895</v>
      </c>
      <c r="H1434" t="s">
        <v>2422</v>
      </c>
      <c r="I1434" s="2">
        <v>1604.94</v>
      </c>
      <c r="J1434" s="2">
        <v>1085.4000000000001</v>
      </c>
      <c r="K1434" s="2">
        <v>519.54</v>
      </c>
      <c r="L1434" s="2">
        <v>32.369999999999997</v>
      </c>
      <c r="M1434" s="2">
        <v>1604.94</v>
      </c>
      <c r="N1434" s="2">
        <v>1085.4000000000001</v>
      </c>
      <c r="O1434" s="2">
        <v>510.54</v>
      </c>
      <c r="P1434" s="2">
        <v>32.369999999999997</v>
      </c>
    </row>
    <row r="1435" spans="1:16" x14ac:dyDescent="0.25">
      <c r="A1435" t="s">
        <v>15</v>
      </c>
      <c r="B1435" t="s">
        <v>1690</v>
      </c>
      <c r="C1435" t="s">
        <v>17</v>
      </c>
      <c r="D1435" t="s">
        <v>1831</v>
      </c>
      <c r="E1435" t="s">
        <v>47</v>
      </c>
      <c r="F1435" t="s">
        <v>320</v>
      </c>
      <c r="G1435" s="1">
        <f>45895</f>
        <v>45895</v>
      </c>
      <c r="H1435" t="s">
        <v>2422</v>
      </c>
      <c r="I1435" s="2">
        <v>130</v>
      </c>
      <c r="J1435" s="2">
        <v>79.739999999999995</v>
      </c>
      <c r="K1435" s="2">
        <v>50.26</v>
      </c>
      <c r="L1435" s="2">
        <v>38.659999999999997</v>
      </c>
      <c r="M1435" s="2">
        <v>130</v>
      </c>
      <c r="N1435" s="2">
        <v>79.739999999999995</v>
      </c>
      <c r="O1435" s="2">
        <v>50.26</v>
      </c>
      <c r="P1435" s="2">
        <v>38.659999999999997</v>
      </c>
    </row>
    <row r="1436" spans="1:16" x14ac:dyDescent="0.25">
      <c r="A1436" t="s">
        <v>15</v>
      </c>
      <c r="B1436" t="s">
        <v>1690</v>
      </c>
      <c r="C1436" t="s">
        <v>17</v>
      </c>
      <c r="D1436" t="s">
        <v>1832</v>
      </c>
      <c r="E1436" t="s">
        <v>47</v>
      </c>
      <c r="F1436" t="s">
        <v>320</v>
      </c>
      <c r="G1436" s="1">
        <f>45896</f>
        <v>45896</v>
      </c>
      <c r="H1436" t="s">
        <v>2422</v>
      </c>
      <c r="I1436" s="2">
        <v>575</v>
      </c>
      <c r="J1436" s="2">
        <v>345</v>
      </c>
      <c r="K1436" s="2">
        <v>230</v>
      </c>
      <c r="L1436" s="2">
        <v>40</v>
      </c>
      <c r="M1436" s="2">
        <v>575</v>
      </c>
      <c r="N1436" s="2">
        <v>345</v>
      </c>
      <c r="O1436" s="2">
        <v>230</v>
      </c>
      <c r="P1436" s="2">
        <v>40</v>
      </c>
    </row>
    <row r="1437" spans="1:16" x14ac:dyDescent="0.25">
      <c r="A1437" t="s">
        <v>15</v>
      </c>
      <c r="B1437" t="s">
        <v>1690</v>
      </c>
      <c r="C1437" t="s">
        <v>17</v>
      </c>
      <c r="D1437" t="s">
        <v>1833</v>
      </c>
      <c r="E1437" t="s">
        <v>47</v>
      </c>
      <c r="F1437" t="s">
        <v>320</v>
      </c>
      <c r="G1437" s="1">
        <f>45896</f>
        <v>45896</v>
      </c>
      <c r="H1437" t="s">
        <v>2422</v>
      </c>
      <c r="I1437" s="2">
        <v>1890</v>
      </c>
      <c r="J1437" s="2">
        <v>1156</v>
      </c>
      <c r="K1437" s="2">
        <v>734</v>
      </c>
      <c r="L1437" s="2">
        <v>38.840000000000003</v>
      </c>
      <c r="M1437" s="2">
        <v>1890</v>
      </c>
      <c r="N1437" s="2">
        <v>1156</v>
      </c>
      <c r="O1437" s="2">
        <v>682</v>
      </c>
      <c r="P1437" s="2">
        <v>38.840000000000003</v>
      </c>
    </row>
    <row r="1438" spans="1:16" x14ac:dyDescent="0.25">
      <c r="A1438" t="s">
        <v>15</v>
      </c>
      <c r="B1438" t="s">
        <v>1690</v>
      </c>
      <c r="C1438" t="s">
        <v>17</v>
      </c>
      <c r="D1438" t="s">
        <v>1834</v>
      </c>
      <c r="E1438" t="s">
        <v>19</v>
      </c>
      <c r="F1438" t="s">
        <v>333</v>
      </c>
      <c r="G1438" s="1">
        <f>45896</f>
        <v>45896</v>
      </c>
      <c r="H1438" t="s">
        <v>2422</v>
      </c>
      <c r="I1438" s="2">
        <v>180</v>
      </c>
      <c r="J1438" s="2">
        <v>108</v>
      </c>
      <c r="K1438" s="2">
        <v>72</v>
      </c>
      <c r="L1438" s="2">
        <v>40</v>
      </c>
      <c r="M1438" s="2">
        <v>180</v>
      </c>
      <c r="N1438" s="2">
        <v>108</v>
      </c>
      <c r="O1438" s="2">
        <v>63</v>
      </c>
      <c r="P1438" s="2">
        <v>40</v>
      </c>
    </row>
    <row r="1439" spans="1:16" x14ac:dyDescent="0.25">
      <c r="A1439" t="s">
        <v>15</v>
      </c>
      <c r="B1439" t="s">
        <v>1690</v>
      </c>
      <c r="C1439" t="s">
        <v>17</v>
      </c>
      <c r="D1439" t="s">
        <v>1835</v>
      </c>
      <c r="E1439" t="s">
        <v>47</v>
      </c>
      <c r="F1439" t="s">
        <v>1836</v>
      </c>
      <c r="G1439" s="1">
        <f>45897</f>
        <v>45897</v>
      </c>
      <c r="H1439" t="s">
        <v>2422</v>
      </c>
      <c r="I1439" s="2">
        <v>6475.4</v>
      </c>
      <c r="J1439" s="2">
        <v>4530.8</v>
      </c>
      <c r="K1439" s="2">
        <v>1944.6</v>
      </c>
      <c r="L1439" s="2">
        <v>30.03</v>
      </c>
      <c r="M1439" s="2">
        <v>6475.4</v>
      </c>
      <c r="N1439" s="2">
        <v>4530.8</v>
      </c>
      <c r="O1439" s="2">
        <v>1834.6</v>
      </c>
      <c r="P1439" s="2">
        <v>30.03</v>
      </c>
    </row>
    <row r="1440" spans="1:16" x14ac:dyDescent="0.25">
      <c r="A1440" t="s">
        <v>15</v>
      </c>
      <c r="B1440" t="s">
        <v>1690</v>
      </c>
      <c r="C1440" t="s">
        <v>17</v>
      </c>
      <c r="D1440" t="s">
        <v>1837</v>
      </c>
      <c r="E1440" t="s">
        <v>47</v>
      </c>
      <c r="F1440" t="s">
        <v>326</v>
      </c>
      <c r="G1440" s="1">
        <f>45898</f>
        <v>45898</v>
      </c>
      <c r="H1440" t="s">
        <v>2422</v>
      </c>
      <c r="I1440" s="2">
        <v>711.8</v>
      </c>
      <c r="J1440" s="2">
        <v>491.6</v>
      </c>
      <c r="K1440" s="2">
        <v>220.2</v>
      </c>
      <c r="L1440" s="2">
        <v>30.94</v>
      </c>
      <c r="M1440" s="2">
        <v>711.8</v>
      </c>
      <c r="N1440" s="2">
        <v>491.58</v>
      </c>
      <c r="O1440" s="2">
        <v>201.76</v>
      </c>
      <c r="P1440" s="2">
        <v>30.94</v>
      </c>
    </row>
    <row r="1441" spans="1:16" x14ac:dyDescent="0.25">
      <c r="A1441" t="s">
        <v>15</v>
      </c>
      <c r="B1441" t="s">
        <v>1690</v>
      </c>
      <c r="C1441" t="s">
        <v>17</v>
      </c>
      <c r="D1441" t="s">
        <v>1838</v>
      </c>
      <c r="E1441" t="s">
        <v>47</v>
      </c>
      <c r="F1441" t="s">
        <v>326</v>
      </c>
      <c r="G1441" s="1">
        <f>45898</f>
        <v>45898</v>
      </c>
      <c r="H1441" t="s">
        <v>2422</v>
      </c>
      <c r="I1441" s="2">
        <v>471.6</v>
      </c>
      <c r="J1441" s="2">
        <v>309.2</v>
      </c>
      <c r="K1441" s="2">
        <v>162.4</v>
      </c>
      <c r="L1441" s="2">
        <v>34.44</v>
      </c>
      <c r="M1441" s="2">
        <v>471.6</v>
      </c>
      <c r="N1441" s="2">
        <v>309.2</v>
      </c>
      <c r="O1441" s="2">
        <v>131.4</v>
      </c>
      <c r="P1441" s="2">
        <v>34.44</v>
      </c>
    </row>
    <row r="1442" spans="1:16" x14ac:dyDescent="0.25">
      <c r="A1442" t="s">
        <v>15</v>
      </c>
      <c r="B1442" t="s">
        <v>1839</v>
      </c>
      <c r="C1442" t="s">
        <v>17</v>
      </c>
      <c r="D1442" t="s">
        <v>1840</v>
      </c>
      <c r="E1442" t="s">
        <v>47</v>
      </c>
      <c r="F1442" t="s">
        <v>663</v>
      </c>
      <c r="G1442" s="1">
        <f>45915</f>
        <v>45915</v>
      </c>
      <c r="H1442" t="s">
        <v>2422</v>
      </c>
      <c r="I1442" s="2">
        <v>252.8</v>
      </c>
      <c r="J1442" s="2">
        <v>170.5</v>
      </c>
      <c r="K1442" s="2">
        <v>82.3</v>
      </c>
      <c r="L1442" s="2">
        <v>32.56</v>
      </c>
      <c r="M1442" s="2">
        <v>252.8</v>
      </c>
      <c r="N1442" s="2">
        <v>170.5</v>
      </c>
      <c r="O1442" s="2">
        <v>73.3</v>
      </c>
      <c r="P1442" s="2">
        <v>32.56</v>
      </c>
    </row>
    <row r="1443" spans="1:16" x14ac:dyDescent="0.25">
      <c r="A1443" t="s">
        <v>15</v>
      </c>
      <c r="B1443" t="s">
        <v>1839</v>
      </c>
      <c r="C1443" t="s">
        <v>17</v>
      </c>
      <c r="D1443" t="s">
        <v>1841</v>
      </c>
      <c r="E1443" t="s">
        <v>47</v>
      </c>
      <c r="F1443" t="s">
        <v>1842</v>
      </c>
      <c r="G1443" s="1">
        <f>45916</f>
        <v>45916</v>
      </c>
      <c r="H1443" t="s">
        <v>2422</v>
      </c>
      <c r="I1443" s="2">
        <v>1482</v>
      </c>
      <c r="J1443" s="2">
        <v>953.83</v>
      </c>
      <c r="K1443" s="2">
        <v>528.16999999999996</v>
      </c>
      <c r="L1443" s="2">
        <v>35.64</v>
      </c>
      <c r="M1443" s="2">
        <v>1482</v>
      </c>
      <c r="N1443" s="2">
        <v>953.83</v>
      </c>
      <c r="O1443" s="2">
        <v>381.17</v>
      </c>
      <c r="P1443" s="2">
        <v>35.64</v>
      </c>
    </row>
    <row r="1444" spans="1:16" x14ac:dyDescent="0.25">
      <c r="A1444" t="s">
        <v>15</v>
      </c>
      <c r="B1444" t="s">
        <v>1839</v>
      </c>
      <c r="C1444" t="s">
        <v>17</v>
      </c>
      <c r="D1444" t="s">
        <v>1843</v>
      </c>
      <c r="E1444" t="s">
        <v>47</v>
      </c>
      <c r="F1444" t="s">
        <v>31</v>
      </c>
      <c r="G1444" s="1">
        <f>45917</f>
        <v>45917</v>
      </c>
      <c r="H1444" t="s">
        <v>2422</v>
      </c>
      <c r="I1444" s="2">
        <v>150</v>
      </c>
      <c r="J1444" s="2">
        <v>30.43</v>
      </c>
      <c r="K1444" s="2">
        <v>119.57</v>
      </c>
      <c r="L1444" s="2">
        <v>79.709999999999994</v>
      </c>
      <c r="M1444" s="2">
        <v>150</v>
      </c>
      <c r="N1444" s="2">
        <v>30.43</v>
      </c>
      <c r="O1444" s="2">
        <v>110.57</v>
      </c>
      <c r="P1444" s="2">
        <v>79.709999999999994</v>
      </c>
    </row>
    <row r="1445" spans="1:16" x14ac:dyDescent="0.25">
      <c r="A1445" t="s">
        <v>15</v>
      </c>
      <c r="B1445" t="s">
        <v>1839</v>
      </c>
      <c r="C1445" t="s">
        <v>17</v>
      </c>
      <c r="D1445" t="s">
        <v>1844</v>
      </c>
      <c r="E1445" t="s">
        <v>47</v>
      </c>
      <c r="F1445" t="s">
        <v>663</v>
      </c>
      <c r="G1445" s="1">
        <f>45918</f>
        <v>45918</v>
      </c>
      <c r="H1445" t="s">
        <v>2422</v>
      </c>
      <c r="I1445" s="2">
        <v>252.8</v>
      </c>
      <c r="J1445" s="2">
        <v>170.44</v>
      </c>
      <c r="K1445" s="2">
        <v>82.36</v>
      </c>
      <c r="L1445" s="2">
        <v>32.58</v>
      </c>
      <c r="M1445" s="2">
        <v>252.8</v>
      </c>
      <c r="N1445" s="2">
        <v>170.44</v>
      </c>
      <c r="O1445" s="2">
        <v>70.19</v>
      </c>
      <c r="P1445" s="2">
        <v>32.58</v>
      </c>
    </row>
    <row r="1446" spans="1:16" x14ac:dyDescent="0.25">
      <c r="A1446" t="s">
        <v>15</v>
      </c>
      <c r="B1446" t="s">
        <v>1839</v>
      </c>
      <c r="C1446" t="s">
        <v>17</v>
      </c>
      <c r="D1446" t="s">
        <v>1845</v>
      </c>
      <c r="E1446" t="s">
        <v>47</v>
      </c>
      <c r="F1446" t="s">
        <v>384</v>
      </c>
      <c r="G1446" s="1">
        <f>45923</f>
        <v>45923</v>
      </c>
      <c r="H1446" t="s">
        <v>2422</v>
      </c>
      <c r="I1446" s="2">
        <v>5651.6</v>
      </c>
      <c r="J1446" s="2">
        <v>3713.87</v>
      </c>
      <c r="K1446" s="2">
        <v>1937.73</v>
      </c>
      <c r="L1446" s="2">
        <v>34.29</v>
      </c>
      <c r="M1446" s="2">
        <v>5651.6</v>
      </c>
      <c r="N1446" s="2">
        <v>3346.51</v>
      </c>
      <c r="O1446" s="2">
        <v>2264.77</v>
      </c>
      <c r="P1446" s="2">
        <v>40.79</v>
      </c>
    </row>
    <row r="1447" spans="1:16" x14ac:dyDescent="0.25">
      <c r="A1447" t="s">
        <v>15</v>
      </c>
      <c r="B1447" t="s">
        <v>1839</v>
      </c>
      <c r="C1447" t="s">
        <v>42</v>
      </c>
      <c r="D1447" t="s">
        <v>1846</v>
      </c>
      <c r="E1447" t="s">
        <v>47</v>
      </c>
      <c r="F1447" t="s">
        <v>48</v>
      </c>
      <c r="G1447" s="1">
        <f>45912</f>
        <v>45912</v>
      </c>
      <c r="H1447" t="s">
        <v>2422</v>
      </c>
      <c r="I1447" s="2">
        <v>38</v>
      </c>
      <c r="J1447" s="2">
        <v>32</v>
      </c>
      <c r="K1447" s="2">
        <v>6</v>
      </c>
      <c r="L1447" s="2">
        <v>15.79</v>
      </c>
      <c r="M1447" s="2">
        <v>38</v>
      </c>
      <c r="N1447" s="2">
        <v>32</v>
      </c>
      <c r="O1447" s="2">
        <v>6</v>
      </c>
      <c r="P1447" s="2">
        <v>15.79</v>
      </c>
    </row>
    <row r="1448" spans="1:16" x14ac:dyDescent="0.25">
      <c r="A1448" t="s">
        <v>15</v>
      </c>
      <c r="B1448" t="s">
        <v>1839</v>
      </c>
      <c r="C1448" t="s">
        <v>42</v>
      </c>
      <c r="D1448" t="s">
        <v>1847</v>
      </c>
      <c r="E1448" t="s">
        <v>47</v>
      </c>
      <c r="F1448" t="s">
        <v>44</v>
      </c>
      <c r="G1448" s="1">
        <f>45916</f>
        <v>45916</v>
      </c>
      <c r="H1448" t="s">
        <v>2422</v>
      </c>
      <c r="I1448" s="2">
        <v>882</v>
      </c>
      <c r="J1448" s="2">
        <v>443.6</v>
      </c>
      <c r="K1448" s="2">
        <v>438.4</v>
      </c>
      <c r="L1448" s="2">
        <v>49.71</v>
      </c>
      <c r="M1448" s="2">
        <v>882</v>
      </c>
      <c r="N1448" s="2">
        <v>556.29999999999995</v>
      </c>
      <c r="O1448" s="2">
        <v>316.7</v>
      </c>
      <c r="P1448" s="2">
        <v>36.93</v>
      </c>
    </row>
    <row r="1449" spans="1:16" x14ac:dyDescent="0.25">
      <c r="A1449" t="s">
        <v>15</v>
      </c>
      <c r="B1449" t="s">
        <v>1839</v>
      </c>
      <c r="C1449" t="s">
        <v>42</v>
      </c>
      <c r="D1449" t="s">
        <v>1848</v>
      </c>
      <c r="E1449" t="s">
        <v>19</v>
      </c>
      <c r="F1449" t="s">
        <v>1849</v>
      </c>
      <c r="G1449" s="1">
        <f>45905</f>
        <v>45905</v>
      </c>
      <c r="H1449" t="s">
        <v>1755</v>
      </c>
      <c r="I1449" s="2">
        <v>1120.8399999999999</v>
      </c>
      <c r="J1449" s="2">
        <v>777.82</v>
      </c>
      <c r="K1449" s="2">
        <v>343.02</v>
      </c>
      <c r="L1449" s="2">
        <v>30.6</v>
      </c>
      <c r="M1449" s="2">
        <v>1120.8399999999999</v>
      </c>
      <c r="N1449" s="2">
        <v>780.09</v>
      </c>
      <c r="O1449" s="2">
        <v>319.11</v>
      </c>
      <c r="P1449" s="2">
        <v>30.4</v>
      </c>
    </row>
    <row r="1450" spans="1:16" x14ac:dyDescent="0.25">
      <c r="A1450" t="s">
        <v>15</v>
      </c>
      <c r="B1450" t="s">
        <v>1839</v>
      </c>
      <c r="C1450" t="s">
        <v>17</v>
      </c>
      <c r="D1450" t="s">
        <v>1850</v>
      </c>
      <c r="E1450" t="s">
        <v>19</v>
      </c>
      <c r="F1450" t="s">
        <v>402</v>
      </c>
      <c r="G1450" s="1">
        <f>45902</f>
        <v>45902</v>
      </c>
      <c r="H1450" t="s">
        <v>1755</v>
      </c>
      <c r="I1450" s="2">
        <v>1674</v>
      </c>
      <c r="J1450" s="2">
        <v>1081.92</v>
      </c>
      <c r="K1450" s="2">
        <v>592.08000000000004</v>
      </c>
      <c r="L1450" s="2">
        <v>35.369999999999997</v>
      </c>
      <c r="M1450" s="2">
        <v>1674</v>
      </c>
      <c r="N1450" s="2">
        <v>1029.92</v>
      </c>
      <c r="O1450" s="2">
        <v>602.08000000000004</v>
      </c>
      <c r="P1450" s="2">
        <v>38.479999999999997</v>
      </c>
    </row>
    <row r="1451" spans="1:16" x14ac:dyDescent="0.25">
      <c r="A1451" t="s">
        <v>15</v>
      </c>
      <c r="B1451" t="s">
        <v>1839</v>
      </c>
      <c r="C1451" t="s">
        <v>17</v>
      </c>
      <c r="D1451" t="s">
        <v>1851</v>
      </c>
      <c r="E1451" t="s">
        <v>19</v>
      </c>
      <c r="F1451" t="s">
        <v>402</v>
      </c>
      <c r="G1451" s="1">
        <f>45902</f>
        <v>45902</v>
      </c>
      <c r="H1451" t="s">
        <v>1755</v>
      </c>
      <c r="I1451" s="2">
        <v>3410</v>
      </c>
      <c r="J1451" s="2">
        <v>2206.09</v>
      </c>
      <c r="K1451" s="2">
        <v>1203.9100000000001</v>
      </c>
      <c r="L1451" s="2">
        <v>35.31</v>
      </c>
      <c r="M1451" s="2">
        <v>3410</v>
      </c>
      <c r="N1451" s="2">
        <v>2098.54</v>
      </c>
      <c r="O1451" s="2">
        <v>1256.46</v>
      </c>
      <c r="P1451" s="2">
        <v>38.46</v>
      </c>
    </row>
    <row r="1452" spans="1:16" x14ac:dyDescent="0.25">
      <c r="A1452" t="s">
        <v>15</v>
      </c>
      <c r="B1452" t="s">
        <v>1839</v>
      </c>
      <c r="C1452" t="s">
        <v>17</v>
      </c>
      <c r="D1452" t="s">
        <v>1852</v>
      </c>
      <c r="E1452" t="s">
        <v>19</v>
      </c>
      <c r="F1452" t="s">
        <v>896</v>
      </c>
      <c r="G1452" s="1">
        <f>45909</f>
        <v>45909</v>
      </c>
      <c r="H1452" t="s">
        <v>1755</v>
      </c>
      <c r="I1452" s="2">
        <v>1137.5</v>
      </c>
      <c r="J1452" s="2">
        <v>790.54</v>
      </c>
      <c r="K1452" s="2">
        <v>346.96</v>
      </c>
      <c r="L1452" s="2">
        <v>30.5</v>
      </c>
      <c r="M1452" s="2">
        <v>1137.5</v>
      </c>
      <c r="N1452" s="2">
        <v>790.54</v>
      </c>
      <c r="O1452" s="2">
        <v>321.95999999999998</v>
      </c>
      <c r="P1452" s="2">
        <v>30.5</v>
      </c>
    </row>
    <row r="1453" spans="1:16" x14ac:dyDescent="0.25">
      <c r="A1453" t="s">
        <v>15</v>
      </c>
      <c r="B1453" t="s">
        <v>1839</v>
      </c>
      <c r="C1453" t="s">
        <v>17</v>
      </c>
      <c r="D1453" t="s">
        <v>1853</v>
      </c>
      <c r="E1453" t="s">
        <v>19</v>
      </c>
      <c r="F1453" t="s">
        <v>402</v>
      </c>
      <c r="G1453" s="1">
        <f>45910</f>
        <v>45910</v>
      </c>
      <c r="H1453" t="s">
        <v>1755</v>
      </c>
      <c r="I1453" s="2">
        <v>1167</v>
      </c>
      <c r="J1453" s="2">
        <v>755.45</v>
      </c>
      <c r="K1453" s="2">
        <v>411.55</v>
      </c>
      <c r="L1453" s="2">
        <v>35.270000000000003</v>
      </c>
      <c r="M1453" s="2">
        <v>1167</v>
      </c>
      <c r="N1453" s="2">
        <v>755.45</v>
      </c>
      <c r="O1453" s="2">
        <v>338.55</v>
      </c>
      <c r="P1453" s="2">
        <v>35.270000000000003</v>
      </c>
    </row>
    <row r="1454" spans="1:16" x14ac:dyDescent="0.25">
      <c r="A1454" t="s">
        <v>15</v>
      </c>
      <c r="B1454" t="s">
        <v>1839</v>
      </c>
      <c r="C1454" t="s">
        <v>17</v>
      </c>
      <c r="D1454" t="s">
        <v>1854</v>
      </c>
      <c r="E1454" t="s">
        <v>47</v>
      </c>
      <c r="F1454" t="s">
        <v>1855</v>
      </c>
      <c r="G1454" s="1">
        <f>45910</f>
        <v>45910</v>
      </c>
      <c r="H1454" t="s">
        <v>1755</v>
      </c>
      <c r="I1454" s="2">
        <v>945.9</v>
      </c>
      <c r="J1454" s="2">
        <v>589.85</v>
      </c>
      <c r="K1454" s="2">
        <v>356.05</v>
      </c>
      <c r="L1454" s="2">
        <v>37.64</v>
      </c>
      <c r="M1454" s="2">
        <v>369.7</v>
      </c>
      <c r="N1454" s="2">
        <v>240.1</v>
      </c>
      <c r="O1454" s="2">
        <v>82.52</v>
      </c>
      <c r="P1454" s="2">
        <v>35.06</v>
      </c>
    </row>
    <row r="1455" spans="1:16" x14ac:dyDescent="0.25">
      <c r="A1455" t="s">
        <v>15</v>
      </c>
      <c r="B1455" t="s">
        <v>1839</v>
      </c>
      <c r="C1455" t="s">
        <v>17</v>
      </c>
      <c r="D1455" t="s">
        <v>1856</v>
      </c>
      <c r="E1455" t="s">
        <v>47</v>
      </c>
      <c r="F1455" t="s">
        <v>35</v>
      </c>
      <c r="G1455" s="1">
        <f>45911</f>
        <v>45911</v>
      </c>
      <c r="H1455" t="s">
        <v>2422</v>
      </c>
      <c r="I1455" s="2">
        <v>239</v>
      </c>
      <c r="J1455" s="2">
        <v>149.13</v>
      </c>
      <c r="K1455" s="2">
        <v>89.87</v>
      </c>
      <c r="L1455" s="2">
        <v>37.6</v>
      </c>
      <c r="M1455" s="2">
        <v>239</v>
      </c>
      <c r="N1455" s="2">
        <v>149.13</v>
      </c>
      <c r="O1455" s="2">
        <v>57.87</v>
      </c>
      <c r="P1455" s="2">
        <v>37.6</v>
      </c>
    </row>
    <row r="1456" spans="1:16" x14ac:dyDescent="0.25">
      <c r="A1456" t="s">
        <v>15</v>
      </c>
      <c r="B1456" t="s">
        <v>1839</v>
      </c>
      <c r="C1456" t="s">
        <v>17</v>
      </c>
      <c r="D1456" t="s">
        <v>1857</v>
      </c>
      <c r="E1456" t="s">
        <v>19</v>
      </c>
      <c r="F1456" t="s">
        <v>50</v>
      </c>
      <c r="G1456" s="1">
        <f>45918</f>
        <v>45918</v>
      </c>
      <c r="H1456" t="s">
        <v>1755</v>
      </c>
      <c r="I1456" s="2">
        <v>2344.41</v>
      </c>
      <c r="J1456" s="2">
        <v>1640.26</v>
      </c>
      <c r="K1456" s="2">
        <v>704.15</v>
      </c>
      <c r="L1456" s="2">
        <v>30.04</v>
      </c>
      <c r="M1456" s="2">
        <v>2344.41</v>
      </c>
      <c r="N1456" s="2">
        <v>1656.4</v>
      </c>
      <c r="O1456" s="2">
        <v>655.85</v>
      </c>
      <c r="P1456" s="2">
        <v>29.35</v>
      </c>
    </row>
    <row r="1457" spans="1:16" x14ac:dyDescent="0.25">
      <c r="A1457" t="s">
        <v>15</v>
      </c>
      <c r="B1457" t="s">
        <v>1839</v>
      </c>
      <c r="C1457" t="s">
        <v>17</v>
      </c>
      <c r="D1457" t="s">
        <v>1858</v>
      </c>
      <c r="E1457" t="s">
        <v>19</v>
      </c>
      <c r="F1457" t="s">
        <v>181</v>
      </c>
      <c r="G1457" s="1">
        <f>45924</f>
        <v>45924</v>
      </c>
      <c r="H1457" t="s">
        <v>56</v>
      </c>
      <c r="I1457" s="2">
        <v>1349.3</v>
      </c>
      <c r="J1457" s="2">
        <v>687.66</v>
      </c>
      <c r="K1457" s="2">
        <v>661.64</v>
      </c>
      <c r="L1457" s="2">
        <v>49.04</v>
      </c>
      <c r="M1457" s="2">
        <v>1349.3</v>
      </c>
      <c r="N1457" s="2">
        <v>687.66</v>
      </c>
      <c r="O1457" s="2">
        <v>610.14</v>
      </c>
      <c r="P1457" s="2">
        <v>49.04</v>
      </c>
    </row>
    <row r="1458" spans="1:16" x14ac:dyDescent="0.25">
      <c r="A1458" t="s">
        <v>15</v>
      </c>
      <c r="B1458" t="s">
        <v>1839</v>
      </c>
      <c r="C1458" t="s">
        <v>17</v>
      </c>
      <c r="D1458" t="s">
        <v>1859</v>
      </c>
      <c r="E1458" t="s">
        <v>19</v>
      </c>
      <c r="F1458" t="s">
        <v>402</v>
      </c>
      <c r="G1458" s="1">
        <f>45929</f>
        <v>45929</v>
      </c>
      <c r="H1458" t="s">
        <v>1755</v>
      </c>
      <c r="I1458" s="2">
        <v>1012</v>
      </c>
      <c r="J1458" s="2">
        <v>627.83000000000004</v>
      </c>
      <c r="K1458" s="2">
        <v>384.17</v>
      </c>
      <c r="L1458" s="2">
        <v>37.96</v>
      </c>
      <c r="M1458" s="2">
        <v>1012</v>
      </c>
      <c r="N1458" s="2">
        <v>627.83000000000004</v>
      </c>
      <c r="O1458" s="2">
        <v>338.17</v>
      </c>
      <c r="P1458" s="2">
        <v>37.96</v>
      </c>
    </row>
    <row r="1459" spans="1:16" x14ac:dyDescent="0.25">
      <c r="A1459" t="s">
        <v>15</v>
      </c>
      <c r="B1459" t="s">
        <v>1839</v>
      </c>
      <c r="C1459" t="s">
        <v>58</v>
      </c>
      <c r="D1459" t="s">
        <v>1860</v>
      </c>
      <c r="E1459" t="s">
        <v>19</v>
      </c>
      <c r="F1459" t="s">
        <v>144</v>
      </c>
      <c r="G1459" s="1">
        <f>45919</f>
        <v>45919</v>
      </c>
      <c r="H1459" t="s">
        <v>56</v>
      </c>
      <c r="I1459" s="2">
        <v>4507.3999999999996</v>
      </c>
      <c r="J1459" s="2">
        <v>2824.31</v>
      </c>
      <c r="K1459" s="2">
        <v>1683.09</v>
      </c>
      <c r="L1459" s="2">
        <v>37.340000000000003</v>
      </c>
      <c r="M1459" s="2">
        <v>4507.3999999999996</v>
      </c>
      <c r="N1459" s="2">
        <v>2861.87</v>
      </c>
      <c r="O1459" s="2">
        <v>1523.07</v>
      </c>
      <c r="P1459" s="2">
        <v>36.51</v>
      </c>
    </row>
    <row r="1460" spans="1:16" x14ac:dyDescent="0.25">
      <c r="A1460" t="s">
        <v>15</v>
      </c>
      <c r="B1460" t="s">
        <v>1839</v>
      </c>
      <c r="C1460" t="s">
        <v>58</v>
      </c>
      <c r="D1460" t="s">
        <v>1861</v>
      </c>
      <c r="E1460" t="s">
        <v>47</v>
      </c>
      <c r="F1460" t="s">
        <v>1318</v>
      </c>
      <c r="G1460" s="1">
        <f>45929</f>
        <v>45929</v>
      </c>
      <c r="H1460" t="s">
        <v>56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0.04</v>
      </c>
      <c r="O1460" s="2">
        <v>0</v>
      </c>
      <c r="P1460" s="2">
        <v>0</v>
      </c>
    </row>
    <row r="1461" spans="1:16" x14ac:dyDescent="0.25">
      <c r="A1461" t="s">
        <v>15</v>
      </c>
      <c r="B1461" t="s">
        <v>1839</v>
      </c>
      <c r="C1461" t="s">
        <v>58</v>
      </c>
      <c r="D1461" t="s">
        <v>1862</v>
      </c>
      <c r="E1461" t="s">
        <v>47</v>
      </c>
      <c r="F1461" t="s">
        <v>123</v>
      </c>
      <c r="G1461" s="1">
        <f>45901</f>
        <v>45901</v>
      </c>
      <c r="H1461" t="s">
        <v>51</v>
      </c>
      <c r="I1461" s="2">
        <v>3141.9</v>
      </c>
      <c r="J1461" s="2">
        <v>2186.54</v>
      </c>
      <c r="K1461" s="2">
        <v>955.36</v>
      </c>
      <c r="L1461" s="2">
        <v>30.41</v>
      </c>
      <c r="M1461" s="2">
        <v>3141.9</v>
      </c>
      <c r="N1461" s="2">
        <v>2186.54</v>
      </c>
      <c r="O1461" s="2">
        <v>905.36</v>
      </c>
      <c r="P1461" s="2">
        <v>30.41</v>
      </c>
    </row>
    <row r="1462" spans="1:16" x14ac:dyDescent="0.25">
      <c r="A1462" t="s">
        <v>15</v>
      </c>
      <c r="B1462" t="s">
        <v>1839</v>
      </c>
      <c r="C1462" t="s">
        <v>58</v>
      </c>
      <c r="D1462" t="s">
        <v>1863</v>
      </c>
      <c r="E1462" t="s">
        <v>19</v>
      </c>
      <c r="F1462" t="s">
        <v>961</v>
      </c>
      <c r="G1462" s="1">
        <f>45903</f>
        <v>45903</v>
      </c>
      <c r="H1462" t="s">
        <v>56</v>
      </c>
      <c r="I1462" s="2">
        <v>306.8</v>
      </c>
      <c r="J1462" s="2">
        <v>201.6</v>
      </c>
      <c r="K1462" s="2">
        <v>105.2</v>
      </c>
      <c r="L1462" s="2">
        <v>34.29</v>
      </c>
      <c r="M1462" s="2">
        <v>306.8</v>
      </c>
      <c r="N1462" s="2">
        <v>201.6</v>
      </c>
      <c r="O1462" s="2">
        <v>53.2</v>
      </c>
      <c r="P1462" s="2">
        <v>34.29</v>
      </c>
    </row>
    <row r="1463" spans="1:16" x14ac:dyDescent="0.25">
      <c r="A1463" t="s">
        <v>15</v>
      </c>
      <c r="B1463" t="s">
        <v>1839</v>
      </c>
      <c r="C1463" t="s">
        <v>58</v>
      </c>
      <c r="D1463" t="s">
        <v>1864</v>
      </c>
      <c r="E1463" t="s">
        <v>19</v>
      </c>
      <c r="F1463" t="s">
        <v>89</v>
      </c>
      <c r="G1463" s="1">
        <f>45904</f>
        <v>45904</v>
      </c>
      <c r="H1463" t="s">
        <v>1755</v>
      </c>
      <c r="I1463" s="2">
        <v>2112.6</v>
      </c>
      <c r="J1463" s="2">
        <v>1278.2</v>
      </c>
      <c r="K1463" s="2">
        <v>834.4</v>
      </c>
      <c r="L1463" s="2">
        <v>39.5</v>
      </c>
      <c r="M1463" s="2">
        <v>2112.6</v>
      </c>
      <c r="N1463" s="2">
        <v>1278.2</v>
      </c>
      <c r="O1463" s="2">
        <v>815.4</v>
      </c>
      <c r="P1463" s="2">
        <v>39.5</v>
      </c>
    </row>
    <row r="1464" spans="1:16" x14ac:dyDescent="0.25">
      <c r="A1464" t="s">
        <v>15</v>
      </c>
      <c r="B1464" t="s">
        <v>1839</v>
      </c>
      <c r="C1464" t="s">
        <v>58</v>
      </c>
      <c r="D1464" t="s">
        <v>1865</v>
      </c>
      <c r="E1464" t="s">
        <v>19</v>
      </c>
      <c r="F1464" t="s">
        <v>103</v>
      </c>
      <c r="G1464" s="1">
        <f>45904</f>
        <v>45904</v>
      </c>
      <c r="H1464" t="s">
        <v>1755</v>
      </c>
      <c r="I1464" s="2">
        <v>1703.3</v>
      </c>
      <c r="J1464" s="2">
        <v>1189.8</v>
      </c>
      <c r="K1464" s="2">
        <v>513.5</v>
      </c>
      <c r="L1464" s="2">
        <v>30.15</v>
      </c>
      <c r="M1464" s="2">
        <v>1703.3</v>
      </c>
      <c r="N1464" s="2">
        <v>1189.8</v>
      </c>
      <c r="O1464" s="2">
        <v>484.5</v>
      </c>
      <c r="P1464" s="2">
        <v>30.15</v>
      </c>
    </row>
    <row r="1465" spans="1:16" x14ac:dyDescent="0.25">
      <c r="A1465" t="s">
        <v>15</v>
      </c>
      <c r="B1465" t="s">
        <v>1839</v>
      </c>
      <c r="C1465" t="s">
        <v>58</v>
      </c>
      <c r="D1465" t="s">
        <v>1866</v>
      </c>
      <c r="E1465" t="s">
        <v>19</v>
      </c>
      <c r="F1465" t="s">
        <v>131</v>
      </c>
      <c r="G1465" s="1">
        <f>45905</f>
        <v>45905</v>
      </c>
      <c r="H1465" t="s">
        <v>1755</v>
      </c>
      <c r="I1465" s="2">
        <v>685.02</v>
      </c>
      <c r="J1465" s="2">
        <v>504.5</v>
      </c>
      <c r="K1465" s="2">
        <v>180.52</v>
      </c>
      <c r="L1465" s="2">
        <v>26.35</v>
      </c>
      <c r="M1465" s="2">
        <v>685.02</v>
      </c>
      <c r="N1465" s="2">
        <v>504.5</v>
      </c>
      <c r="O1465" s="2">
        <v>130.52000000000001</v>
      </c>
      <c r="P1465" s="2">
        <v>26.35</v>
      </c>
    </row>
    <row r="1466" spans="1:16" x14ac:dyDescent="0.25">
      <c r="A1466" t="s">
        <v>15</v>
      </c>
      <c r="B1466" t="s">
        <v>1839</v>
      </c>
      <c r="C1466" t="s">
        <v>58</v>
      </c>
      <c r="D1466" t="s">
        <v>1867</v>
      </c>
      <c r="E1466" t="s">
        <v>47</v>
      </c>
      <c r="F1466" t="s">
        <v>69</v>
      </c>
      <c r="G1466" s="1">
        <f>45905</f>
        <v>45905</v>
      </c>
      <c r="H1466" t="s">
        <v>70</v>
      </c>
      <c r="I1466" s="2">
        <v>0</v>
      </c>
      <c r="J1466" s="2">
        <v>0</v>
      </c>
      <c r="K1466" s="2">
        <v>0</v>
      </c>
      <c r="L1466" s="2">
        <v>0</v>
      </c>
      <c r="M1466" s="2">
        <v>82.81</v>
      </c>
      <c r="N1466" s="2">
        <v>71.22</v>
      </c>
      <c r="O1466" s="2">
        <v>11.59</v>
      </c>
      <c r="P1466" s="2">
        <v>13.99</v>
      </c>
    </row>
    <row r="1467" spans="1:16" x14ac:dyDescent="0.25">
      <c r="A1467" t="s">
        <v>15</v>
      </c>
      <c r="B1467" t="s">
        <v>1839</v>
      </c>
      <c r="C1467" t="s">
        <v>58</v>
      </c>
      <c r="D1467" t="s">
        <v>1868</v>
      </c>
      <c r="E1467" t="s">
        <v>19</v>
      </c>
      <c r="F1467" t="s">
        <v>478</v>
      </c>
      <c r="G1467" s="1">
        <f>45908</f>
        <v>45908</v>
      </c>
      <c r="H1467" t="s">
        <v>1755</v>
      </c>
      <c r="I1467" s="2">
        <v>270</v>
      </c>
      <c r="J1467" s="2">
        <v>162</v>
      </c>
      <c r="K1467" s="2">
        <v>108</v>
      </c>
      <c r="L1467" s="2">
        <v>40</v>
      </c>
      <c r="M1467" s="2">
        <v>270</v>
      </c>
      <c r="N1467" s="2">
        <v>162</v>
      </c>
      <c r="O1467" s="2">
        <v>108</v>
      </c>
      <c r="P1467" s="2">
        <v>40</v>
      </c>
    </row>
    <row r="1468" spans="1:16" x14ac:dyDescent="0.25">
      <c r="A1468" t="s">
        <v>15</v>
      </c>
      <c r="B1468" t="s">
        <v>1839</v>
      </c>
      <c r="C1468" t="s">
        <v>58</v>
      </c>
      <c r="D1468" t="s">
        <v>1869</v>
      </c>
      <c r="E1468" t="s">
        <v>19</v>
      </c>
      <c r="F1468" t="s">
        <v>64</v>
      </c>
      <c r="G1468" s="1">
        <f>45909</f>
        <v>45909</v>
      </c>
      <c r="H1468" t="s">
        <v>1755</v>
      </c>
      <c r="I1468" s="2">
        <v>725.8</v>
      </c>
      <c r="J1468" s="2">
        <v>493.5</v>
      </c>
      <c r="K1468" s="2">
        <v>232.3</v>
      </c>
      <c r="L1468" s="2">
        <v>32.01</v>
      </c>
      <c r="M1468" s="2">
        <v>725.8</v>
      </c>
      <c r="N1468" s="2">
        <v>493.5</v>
      </c>
      <c r="O1468" s="2">
        <v>190.3</v>
      </c>
      <c r="P1468" s="2">
        <v>32.01</v>
      </c>
    </row>
    <row r="1469" spans="1:16" x14ac:dyDescent="0.25">
      <c r="A1469" t="s">
        <v>15</v>
      </c>
      <c r="B1469" t="s">
        <v>1839</v>
      </c>
      <c r="C1469" t="s">
        <v>58</v>
      </c>
      <c r="D1469" t="s">
        <v>1870</v>
      </c>
      <c r="E1469" t="s">
        <v>47</v>
      </c>
      <c r="F1469" t="s">
        <v>69</v>
      </c>
      <c r="G1469" s="1">
        <f>45909</f>
        <v>45909</v>
      </c>
      <c r="H1469" t="s">
        <v>70</v>
      </c>
      <c r="I1469" s="2">
        <v>0</v>
      </c>
      <c r="J1469" s="2">
        <v>0</v>
      </c>
      <c r="K1469" s="2">
        <v>0</v>
      </c>
      <c r="L1469" s="2">
        <v>0</v>
      </c>
      <c r="M1469" s="2">
        <v>99.6</v>
      </c>
      <c r="N1469" s="2">
        <v>84.39</v>
      </c>
      <c r="O1469" s="2">
        <v>15.21</v>
      </c>
      <c r="P1469" s="2">
        <v>15.27</v>
      </c>
    </row>
    <row r="1470" spans="1:16" x14ac:dyDescent="0.25">
      <c r="A1470" t="s">
        <v>15</v>
      </c>
      <c r="B1470" t="s">
        <v>1839</v>
      </c>
      <c r="C1470" t="s">
        <v>58</v>
      </c>
      <c r="D1470" t="s">
        <v>1871</v>
      </c>
      <c r="E1470" t="s">
        <v>19</v>
      </c>
      <c r="F1470" t="s">
        <v>408</v>
      </c>
      <c r="G1470" s="1">
        <f>45901</f>
        <v>45901</v>
      </c>
      <c r="H1470" t="s">
        <v>56</v>
      </c>
      <c r="I1470" s="2">
        <v>1283.7</v>
      </c>
      <c r="J1470" s="2">
        <v>881</v>
      </c>
      <c r="K1470" s="2">
        <v>402.7</v>
      </c>
      <c r="L1470" s="2">
        <v>31.37</v>
      </c>
      <c r="M1470" s="2">
        <v>1283.7</v>
      </c>
      <c r="N1470" s="2">
        <v>881</v>
      </c>
      <c r="O1470" s="2">
        <v>342.7</v>
      </c>
      <c r="P1470" s="2">
        <v>31.37</v>
      </c>
    </row>
    <row r="1471" spans="1:16" x14ac:dyDescent="0.25">
      <c r="A1471" t="s">
        <v>15</v>
      </c>
      <c r="B1471" t="s">
        <v>1839</v>
      </c>
      <c r="C1471" t="s">
        <v>58</v>
      </c>
      <c r="D1471" t="s">
        <v>1872</v>
      </c>
      <c r="E1471" t="s">
        <v>19</v>
      </c>
      <c r="F1471" t="s">
        <v>1873</v>
      </c>
      <c r="G1471" s="1">
        <f>45909</f>
        <v>45909</v>
      </c>
      <c r="H1471" t="s">
        <v>56</v>
      </c>
      <c r="I1471" s="2">
        <v>1498.4</v>
      </c>
      <c r="J1471" s="2">
        <v>1011.99</v>
      </c>
      <c r="K1471" s="2">
        <v>486.41</v>
      </c>
      <c r="L1471" s="2">
        <v>32.46</v>
      </c>
      <c r="M1471" s="2">
        <v>1498.4</v>
      </c>
      <c r="N1471" s="2">
        <v>1012.11</v>
      </c>
      <c r="O1471" s="2">
        <v>476.29</v>
      </c>
      <c r="P1471" s="2">
        <v>32.450000000000003</v>
      </c>
    </row>
    <row r="1472" spans="1:16" x14ac:dyDescent="0.25">
      <c r="A1472" t="s">
        <v>15</v>
      </c>
      <c r="B1472" t="s">
        <v>1839</v>
      </c>
      <c r="C1472" t="s">
        <v>58</v>
      </c>
      <c r="D1472" t="s">
        <v>1874</v>
      </c>
      <c r="E1472" t="s">
        <v>19</v>
      </c>
      <c r="F1472" t="s">
        <v>64</v>
      </c>
      <c r="G1472" s="1">
        <f>45909</f>
        <v>45909</v>
      </c>
      <c r="H1472" t="s">
        <v>56</v>
      </c>
      <c r="I1472" s="2">
        <v>4004.6</v>
      </c>
      <c r="J1472" s="2">
        <v>2768.74</v>
      </c>
      <c r="K1472" s="2">
        <v>1235.8599999999999</v>
      </c>
      <c r="L1472" s="2">
        <v>30.86</v>
      </c>
      <c r="M1472" s="2">
        <v>4004.6</v>
      </c>
      <c r="N1472" s="2">
        <v>2768.74</v>
      </c>
      <c r="O1472" s="2">
        <v>1210.8599999999999</v>
      </c>
      <c r="P1472" s="2">
        <v>30.86</v>
      </c>
    </row>
    <row r="1473" spans="1:16" x14ac:dyDescent="0.25">
      <c r="A1473" t="s">
        <v>15</v>
      </c>
      <c r="B1473" t="s">
        <v>1839</v>
      </c>
      <c r="C1473" t="s">
        <v>58</v>
      </c>
      <c r="D1473" t="s">
        <v>1875</v>
      </c>
      <c r="E1473" t="s">
        <v>19</v>
      </c>
      <c r="F1473" t="s">
        <v>408</v>
      </c>
      <c r="G1473" s="1">
        <f>45909</f>
        <v>45909</v>
      </c>
      <c r="H1473" t="s">
        <v>1755</v>
      </c>
      <c r="I1473" s="2">
        <v>66.150000000000006</v>
      </c>
      <c r="J1473" s="2">
        <v>41.9</v>
      </c>
      <c r="K1473" s="2">
        <v>24.25</v>
      </c>
      <c r="L1473" s="2">
        <v>36.659999999999997</v>
      </c>
      <c r="M1473" s="2">
        <v>66.150000000000006</v>
      </c>
      <c r="N1473" s="2">
        <v>41.9</v>
      </c>
      <c r="O1473" s="2">
        <v>24.25</v>
      </c>
      <c r="P1473" s="2">
        <v>36.659999999999997</v>
      </c>
    </row>
    <row r="1474" spans="1:16" x14ac:dyDescent="0.25">
      <c r="A1474" t="s">
        <v>15</v>
      </c>
      <c r="B1474" t="s">
        <v>1839</v>
      </c>
      <c r="C1474" t="s">
        <v>58</v>
      </c>
      <c r="D1474" t="s">
        <v>1876</v>
      </c>
      <c r="E1474" t="s">
        <v>19</v>
      </c>
      <c r="F1474" t="s">
        <v>64</v>
      </c>
      <c r="G1474" s="1">
        <f>45909</f>
        <v>45909</v>
      </c>
      <c r="H1474" t="s">
        <v>1755</v>
      </c>
      <c r="I1474" s="2">
        <v>189.3</v>
      </c>
      <c r="J1474" s="2">
        <v>132.28</v>
      </c>
      <c r="K1474" s="2">
        <v>57.02</v>
      </c>
      <c r="L1474" s="2">
        <v>30.12</v>
      </c>
      <c r="M1474" s="2">
        <v>189.3</v>
      </c>
      <c r="N1474" s="2">
        <v>132.28</v>
      </c>
      <c r="O1474" s="2">
        <v>57.02</v>
      </c>
      <c r="P1474" s="2">
        <v>30.12</v>
      </c>
    </row>
    <row r="1475" spans="1:16" x14ac:dyDescent="0.25">
      <c r="A1475" t="s">
        <v>15</v>
      </c>
      <c r="B1475" t="s">
        <v>1839</v>
      </c>
      <c r="C1475" t="s">
        <v>58</v>
      </c>
      <c r="D1475" t="s">
        <v>1877</v>
      </c>
      <c r="E1475" t="s">
        <v>19</v>
      </c>
      <c r="F1475" t="s">
        <v>131</v>
      </c>
      <c r="G1475" s="1">
        <f>45910</f>
        <v>45910</v>
      </c>
      <c r="H1475" t="s">
        <v>1755</v>
      </c>
      <c r="I1475" s="2">
        <v>160.49</v>
      </c>
      <c r="J1475" s="2">
        <v>112.24</v>
      </c>
      <c r="K1475" s="2">
        <v>48.25</v>
      </c>
      <c r="L1475" s="2">
        <v>30.07</v>
      </c>
      <c r="M1475" s="2">
        <v>160.49</v>
      </c>
      <c r="N1475" s="2">
        <v>112.24</v>
      </c>
      <c r="O1475" s="2">
        <v>46.05</v>
      </c>
      <c r="P1475" s="2">
        <v>30.06</v>
      </c>
    </row>
    <row r="1476" spans="1:16" x14ac:dyDescent="0.25">
      <c r="A1476" t="s">
        <v>15</v>
      </c>
      <c r="B1476" t="s">
        <v>1839</v>
      </c>
      <c r="C1476" t="s">
        <v>58</v>
      </c>
      <c r="D1476" t="s">
        <v>1878</v>
      </c>
      <c r="E1476" t="s">
        <v>19</v>
      </c>
      <c r="F1476" t="s">
        <v>465</v>
      </c>
      <c r="G1476" s="1">
        <f>45910</f>
        <v>45910</v>
      </c>
      <c r="H1476" t="s">
        <v>1755</v>
      </c>
      <c r="I1476" s="2">
        <v>815</v>
      </c>
      <c r="J1476" s="2">
        <v>566.08000000000004</v>
      </c>
      <c r="K1476" s="2">
        <v>248.92</v>
      </c>
      <c r="L1476" s="2">
        <v>30.54</v>
      </c>
      <c r="M1476" s="2">
        <v>815</v>
      </c>
      <c r="N1476" s="2">
        <v>566.08000000000004</v>
      </c>
      <c r="O1476" s="2">
        <v>239.92</v>
      </c>
      <c r="P1476" s="2">
        <v>30.54</v>
      </c>
    </row>
    <row r="1477" spans="1:16" x14ac:dyDescent="0.25">
      <c r="A1477" t="s">
        <v>15</v>
      </c>
      <c r="B1477" t="s">
        <v>1839</v>
      </c>
      <c r="C1477" t="s">
        <v>58</v>
      </c>
      <c r="D1477" t="s">
        <v>1879</v>
      </c>
      <c r="E1477" t="s">
        <v>19</v>
      </c>
      <c r="F1477" t="s">
        <v>408</v>
      </c>
      <c r="G1477" s="1">
        <f>45901</f>
        <v>45901</v>
      </c>
      <c r="H1477" t="s">
        <v>56</v>
      </c>
      <c r="I1477" s="2">
        <v>978.83</v>
      </c>
      <c r="J1477" s="2">
        <v>690</v>
      </c>
      <c r="K1477" s="2">
        <v>288.83</v>
      </c>
      <c r="L1477" s="2">
        <v>29.51</v>
      </c>
      <c r="M1477" s="2">
        <v>978.83</v>
      </c>
      <c r="N1477" s="2">
        <v>690</v>
      </c>
      <c r="O1477" s="2">
        <v>254.83</v>
      </c>
      <c r="P1477" s="2">
        <v>29.51</v>
      </c>
    </row>
    <row r="1478" spans="1:16" x14ac:dyDescent="0.25">
      <c r="A1478" t="s">
        <v>15</v>
      </c>
      <c r="B1478" t="s">
        <v>1839</v>
      </c>
      <c r="C1478" t="s">
        <v>58</v>
      </c>
      <c r="D1478" t="s">
        <v>1880</v>
      </c>
      <c r="E1478" t="s">
        <v>19</v>
      </c>
      <c r="F1478" t="s">
        <v>95</v>
      </c>
      <c r="G1478" s="1">
        <f>45911</f>
        <v>45911</v>
      </c>
      <c r="H1478" t="s">
        <v>1755</v>
      </c>
      <c r="I1478" s="2">
        <v>4508</v>
      </c>
      <c r="J1478" s="2">
        <v>3026.78</v>
      </c>
      <c r="K1478" s="2">
        <v>1481.22</v>
      </c>
      <c r="L1478" s="2">
        <v>32.86</v>
      </c>
      <c r="M1478" s="2">
        <v>4508</v>
      </c>
      <c r="N1478" s="2">
        <v>3026.78</v>
      </c>
      <c r="O1478" s="2">
        <v>1390.44</v>
      </c>
      <c r="P1478" s="2">
        <v>32.86</v>
      </c>
    </row>
    <row r="1479" spans="1:16" x14ac:dyDescent="0.25">
      <c r="A1479" t="s">
        <v>15</v>
      </c>
      <c r="B1479" t="s">
        <v>1839</v>
      </c>
      <c r="C1479" t="s">
        <v>58</v>
      </c>
      <c r="D1479" t="s">
        <v>1881</v>
      </c>
      <c r="E1479" t="s">
        <v>19</v>
      </c>
      <c r="F1479" t="s">
        <v>1882</v>
      </c>
      <c r="G1479" s="1">
        <f>45912</f>
        <v>45912</v>
      </c>
      <c r="H1479" t="s">
        <v>56</v>
      </c>
      <c r="I1479" s="2">
        <v>4460</v>
      </c>
      <c r="J1479" s="2">
        <v>3215.39</v>
      </c>
      <c r="K1479" s="2">
        <v>1244.6099999999999</v>
      </c>
      <c r="L1479" s="2">
        <v>27.91</v>
      </c>
      <c r="M1479" s="2">
        <v>4460</v>
      </c>
      <c r="N1479" s="2">
        <v>3215.39</v>
      </c>
      <c r="O1479" s="2">
        <v>1068.6199999999999</v>
      </c>
      <c r="P1479" s="2">
        <v>27.91</v>
      </c>
    </row>
    <row r="1480" spans="1:16" x14ac:dyDescent="0.25">
      <c r="A1480" t="s">
        <v>15</v>
      </c>
      <c r="B1480" t="s">
        <v>1839</v>
      </c>
      <c r="C1480" t="s">
        <v>58</v>
      </c>
      <c r="D1480" t="s">
        <v>1883</v>
      </c>
      <c r="E1480" t="s">
        <v>19</v>
      </c>
      <c r="F1480" t="s">
        <v>705</v>
      </c>
      <c r="G1480" s="1">
        <f>45912</f>
        <v>45912</v>
      </c>
      <c r="H1480" t="s">
        <v>1755</v>
      </c>
      <c r="I1480" s="2">
        <v>3805</v>
      </c>
      <c r="J1480" s="2">
        <v>2625.67</v>
      </c>
      <c r="K1480" s="2">
        <v>1179.33</v>
      </c>
      <c r="L1480" s="2">
        <v>30.99</v>
      </c>
      <c r="M1480" s="2">
        <v>3805</v>
      </c>
      <c r="N1480" s="2">
        <v>2625.65</v>
      </c>
      <c r="O1480" s="2">
        <v>1129.3499999999999</v>
      </c>
      <c r="P1480" s="2">
        <v>30.99</v>
      </c>
    </row>
    <row r="1481" spans="1:16" x14ac:dyDescent="0.25">
      <c r="A1481" t="s">
        <v>15</v>
      </c>
      <c r="B1481" t="s">
        <v>1839</v>
      </c>
      <c r="C1481" t="s">
        <v>58</v>
      </c>
      <c r="D1481" t="s">
        <v>1884</v>
      </c>
      <c r="E1481" t="s">
        <v>19</v>
      </c>
      <c r="F1481" t="s">
        <v>724</v>
      </c>
      <c r="G1481" s="1">
        <f>45912</f>
        <v>45912</v>
      </c>
      <c r="H1481" t="s">
        <v>56</v>
      </c>
      <c r="I1481" s="2">
        <v>1619.2</v>
      </c>
      <c r="J1481" s="2">
        <v>1203.3599999999999</v>
      </c>
      <c r="K1481" s="2">
        <v>415.84</v>
      </c>
      <c r="L1481" s="2">
        <v>25.68</v>
      </c>
      <c r="M1481" s="2">
        <v>1619.2</v>
      </c>
      <c r="N1481" s="2">
        <v>1203.3599999999999</v>
      </c>
      <c r="O1481" s="2">
        <v>402.84</v>
      </c>
      <c r="P1481" s="2">
        <v>25.68</v>
      </c>
    </row>
    <row r="1482" spans="1:16" x14ac:dyDescent="0.25">
      <c r="A1482" t="s">
        <v>15</v>
      </c>
      <c r="B1482" t="s">
        <v>1839</v>
      </c>
      <c r="C1482" t="s">
        <v>58</v>
      </c>
      <c r="D1482" t="s">
        <v>1885</v>
      </c>
      <c r="E1482" t="s">
        <v>19</v>
      </c>
      <c r="F1482" t="s">
        <v>131</v>
      </c>
      <c r="G1482" s="1">
        <f>45915</f>
        <v>45915</v>
      </c>
      <c r="H1482" t="s">
        <v>1755</v>
      </c>
      <c r="I1482" s="2">
        <v>6193.44</v>
      </c>
      <c r="J1482" s="2">
        <v>4335.38</v>
      </c>
      <c r="K1482" s="2">
        <v>1858.06</v>
      </c>
      <c r="L1482" s="2">
        <v>30</v>
      </c>
      <c r="M1482" s="2">
        <v>6193.44</v>
      </c>
      <c r="N1482" s="2">
        <v>4335.38</v>
      </c>
      <c r="O1482" s="2">
        <v>1858.06</v>
      </c>
      <c r="P1482" s="2">
        <v>30</v>
      </c>
    </row>
    <row r="1483" spans="1:16" x14ac:dyDescent="0.25">
      <c r="A1483" t="s">
        <v>15</v>
      </c>
      <c r="B1483" t="s">
        <v>1839</v>
      </c>
      <c r="C1483" t="s">
        <v>58</v>
      </c>
      <c r="D1483" t="s">
        <v>1886</v>
      </c>
      <c r="E1483" t="s">
        <v>19</v>
      </c>
      <c r="F1483" t="s">
        <v>154</v>
      </c>
      <c r="G1483" s="1">
        <f>45916</f>
        <v>45916</v>
      </c>
      <c r="H1483" t="s">
        <v>1755</v>
      </c>
      <c r="I1483" s="2">
        <v>3536.62</v>
      </c>
      <c r="J1483" s="2">
        <v>2475.46</v>
      </c>
      <c r="K1483" s="2">
        <v>1061.1600000000001</v>
      </c>
      <c r="L1483" s="2">
        <v>30.01</v>
      </c>
      <c r="M1483" s="2">
        <v>3536.62</v>
      </c>
      <c r="N1483" s="2">
        <v>2428.81</v>
      </c>
      <c r="O1483" s="2">
        <v>1107.81</v>
      </c>
      <c r="P1483" s="2">
        <v>31.32</v>
      </c>
    </row>
    <row r="1484" spans="1:16" x14ac:dyDescent="0.25">
      <c r="A1484" t="s">
        <v>15</v>
      </c>
      <c r="B1484" t="s">
        <v>1839</v>
      </c>
      <c r="C1484" t="s">
        <v>58</v>
      </c>
      <c r="D1484" t="s">
        <v>1887</v>
      </c>
      <c r="E1484" t="s">
        <v>19</v>
      </c>
      <c r="F1484" t="s">
        <v>1169</v>
      </c>
      <c r="G1484" s="1">
        <f>45916</f>
        <v>45916</v>
      </c>
      <c r="H1484" t="s">
        <v>1755</v>
      </c>
      <c r="I1484" s="2">
        <v>160.19999999999999</v>
      </c>
      <c r="J1484" s="2">
        <v>96.14</v>
      </c>
      <c r="K1484" s="2">
        <v>64.06</v>
      </c>
      <c r="L1484" s="2">
        <v>39.99</v>
      </c>
      <c r="M1484" s="2">
        <v>160.19999999999999</v>
      </c>
      <c r="N1484" s="2">
        <v>96.14</v>
      </c>
      <c r="O1484" s="2">
        <v>37.06</v>
      </c>
      <c r="P1484" s="2">
        <v>39.99</v>
      </c>
    </row>
    <row r="1485" spans="1:16" x14ac:dyDescent="0.25">
      <c r="A1485" t="s">
        <v>15</v>
      </c>
      <c r="B1485" t="s">
        <v>1839</v>
      </c>
      <c r="C1485" t="s">
        <v>58</v>
      </c>
      <c r="D1485" t="s">
        <v>1888</v>
      </c>
      <c r="E1485" t="s">
        <v>19</v>
      </c>
      <c r="F1485" t="s">
        <v>137</v>
      </c>
      <c r="G1485" s="1">
        <f>45916</f>
        <v>45916</v>
      </c>
      <c r="H1485" t="s">
        <v>1755</v>
      </c>
      <c r="I1485" s="2">
        <v>346.4</v>
      </c>
      <c r="J1485" s="2">
        <v>219.87</v>
      </c>
      <c r="K1485" s="2">
        <v>126.53</v>
      </c>
      <c r="L1485" s="2">
        <v>36.53</v>
      </c>
      <c r="M1485" s="2">
        <v>346.4</v>
      </c>
      <c r="N1485" s="2">
        <v>219.87</v>
      </c>
      <c r="O1485" s="2">
        <v>102.53</v>
      </c>
      <c r="P1485" s="2">
        <v>36.53</v>
      </c>
    </row>
    <row r="1486" spans="1:16" x14ac:dyDescent="0.25">
      <c r="A1486" t="s">
        <v>15</v>
      </c>
      <c r="B1486" t="s">
        <v>1839</v>
      </c>
      <c r="C1486" t="s">
        <v>58</v>
      </c>
      <c r="D1486" t="s">
        <v>1889</v>
      </c>
      <c r="E1486" t="s">
        <v>19</v>
      </c>
      <c r="F1486" t="s">
        <v>131</v>
      </c>
      <c r="G1486" s="1">
        <f>45916</f>
        <v>45916</v>
      </c>
      <c r="H1486" t="s">
        <v>1755</v>
      </c>
      <c r="I1486" s="2">
        <v>4586.22</v>
      </c>
      <c r="J1486" s="2">
        <v>2883</v>
      </c>
      <c r="K1486" s="2">
        <v>1703.22</v>
      </c>
      <c r="L1486" s="2">
        <v>37.14</v>
      </c>
      <c r="M1486" s="2">
        <v>4586.22</v>
      </c>
      <c r="N1486" s="2">
        <v>2883</v>
      </c>
      <c r="O1486" s="2">
        <v>1703.22</v>
      </c>
      <c r="P1486" s="2">
        <v>37.14</v>
      </c>
    </row>
    <row r="1487" spans="1:16" x14ac:dyDescent="0.25">
      <c r="A1487" t="s">
        <v>15</v>
      </c>
      <c r="B1487" t="s">
        <v>1839</v>
      </c>
      <c r="C1487" t="s">
        <v>58</v>
      </c>
      <c r="D1487" t="s">
        <v>1890</v>
      </c>
      <c r="E1487" t="s">
        <v>19</v>
      </c>
      <c r="F1487" t="s">
        <v>131</v>
      </c>
      <c r="G1487" s="1">
        <f>45916</f>
        <v>45916</v>
      </c>
      <c r="H1487" t="s">
        <v>1755</v>
      </c>
      <c r="I1487" s="2">
        <v>6277.42</v>
      </c>
      <c r="J1487" s="2">
        <v>4305.96</v>
      </c>
      <c r="K1487" s="2">
        <v>1971.46</v>
      </c>
      <c r="L1487" s="2">
        <v>31.41</v>
      </c>
      <c r="M1487" s="2">
        <v>6277.42</v>
      </c>
      <c r="N1487" s="2">
        <v>4305.84</v>
      </c>
      <c r="O1487" s="2">
        <v>1971.58</v>
      </c>
      <c r="P1487" s="2">
        <v>31.41</v>
      </c>
    </row>
    <row r="1488" spans="1:16" x14ac:dyDescent="0.25">
      <c r="A1488" t="s">
        <v>15</v>
      </c>
      <c r="B1488" t="s">
        <v>1839</v>
      </c>
      <c r="C1488" t="s">
        <v>58</v>
      </c>
      <c r="D1488" t="s">
        <v>1891</v>
      </c>
      <c r="E1488" t="s">
        <v>19</v>
      </c>
      <c r="F1488" t="s">
        <v>985</v>
      </c>
      <c r="G1488" s="1">
        <f>45918</f>
        <v>45918</v>
      </c>
      <c r="H1488" t="s">
        <v>1755</v>
      </c>
      <c r="I1488" s="2">
        <v>510.25</v>
      </c>
      <c r="J1488" s="2">
        <v>341</v>
      </c>
      <c r="K1488" s="2">
        <v>169.25</v>
      </c>
      <c r="L1488" s="2">
        <v>33.17</v>
      </c>
      <c r="M1488" s="2">
        <v>510.25</v>
      </c>
      <c r="N1488" s="2">
        <v>341</v>
      </c>
      <c r="O1488" s="2">
        <v>118.25</v>
      </c>
      <c r="P1488" s="2">
        <v>33.17</v>
      </c>
    </row>
    <row r="1489" spans="1:16" x14ac:dyDescent="0.25">
      <c r="A1489" t="s">
        <v>15</v>
      </c>
      <c r="B1489" t="s">
        <v>1839</v>
      </c>
      <c r="C1489" t="s">
        <v>58</v>
      </c>
      <c r="D1489" t="s">
        <v>1892</v>
      </c>
      <c r="E1489" t="s">
        <v>19</v>
      </c>
      <c r="F1489" t="s">
        <v>131</v>
      </c>
      <c r="G1489" s="1">
        <f>45918</f>
        <v>45918</v>
      </c>
      <c r="H1489" t="s">
        <v>1755</v>
      </c>
      <c r="I1489" s="2">
        <v>3078.4</v>
      </c>
      <c r="J1489" s="2">
        <v>2153.7800000000002</v>
      </c>
      <c r="K1489" s="2">
        <v>924.62</v>
      </c>
      <c r="L1489" s="2">
        <v>30.04</v>
      </c>
      <c r="M1489" s="2">
        <v>3078.4</v>
      </c>
      <c r="N1489" s="2">
        <v>2137.71</v>
      </c>
      <c r="O1489" s="2">
        <v>898.64</v>
      </c>
      <c r="P1489" s="2">
        <v>30.56</v>
      </c>
    </row>
    <row r="1490" spans="1:16" x14ac:dyDescent="0.25">
      <c r="A1490" t="s">
        <v>15</v>
      </c>
      <c r="B1490" t="s">
        <v>1839</v>
      </c>
      <c r="C1490" t="s">
        <v>58</v>
      </c>
      <c r="D1490" t="s">
        <v>1893</v>
      </c>
      <c r="E1490" t="s">
        <v>47</v>
      </c>
      <c r="F1490" t="s">
        <v>111</v>
      </c>
      <c r="G1490" s="1">
        <f>45919</f>
        <v>45919</v>
      </c>
      <c r="H1490" t="s">
        <v>1755</v>
      </c>
      <c r="I1490" s="2">
        <v>1581.36</v>
      </c>
      <c r="J1490" s="2">
        <v>1075.22</v>
      </c>
      <c r="K1490" s="2">
        <v>506.14</v>
      </c>
      <c r="L1490" s="2">
        <v>32.01</v>
      </c>
      <c r="M1490" s="2">
        <v>679.16</v>
      </c>
      <c r="N1490" s="2">
        <v>481.74</v>
      </c>
      <c r="O1490" s="2">
        <v>157.41999999999999</v>
      </c>
      <c r="P1490" s="2">
        <v>29.07</v>
      </c>
    </row>
    <row r="1491" spans="1:16" x14ac:dyDescent="0.25">
      <c r="A1491" t="s">
        <v>15</v>
      </c>
      <c r="B1491" t="s">
        <v>1839</v>
      </c>
      <c r="C1491" t="s">
        <v>58</v>
      </c>
      <c r="D1491" t="s">
        <v>1894</v>
      </c>
      <c r="E1491" t="s">
        <v>47</v>
      </c>
      <c r="F1491" t="s">
        <v>427</v>
      </c>
      <c r="G1491" s="1">
        <f>45923</f>
        <v>45923</v>
      </c>
      <c r="H1491" t="s">
        <v>1755</v>
      </c>
      <c r="I1491" s="2">
        <v>8290</v>
      </c>
      <c r="J1491" s="2">
        <v>5510.01</v>
      </c>
      <c r="K1491" s="2">
        <v>2779.99</v>
      </c>
      <c r="L1491" s="2">
        <v>33.53</v>
      </c>
      <c r="M1491" s="2">
        <v>8290</v>
      </c>
      <c r="N1491" s="2">
        <v>5580.01</v>
      </c>
      <c r="O1491" s="2">
        <v>2709.98</v>
      </c>
      <c r="P1491" s="2">
        <v>32.69</v>
      </c>
    </row>
    <row r="1492" spans="1:16" x14ac:dyDescent="0.25">
      <c r="A1492" t="s">
        <v>15</v>
      </c>
      <c r="B1492" t="s">
        <v>1839</v>
      </c>
      <c r="C1492" t="s">
        <v>58</v>
      </c>
      <c r="D1492" t="s">
        <v>1895</v>
      </c>
      <c r="E1492" t="s">
        <v>19</v>
      </c>
      <c r="F1492" t="s">
        <v>1896</v>
      </c>
      <c r="G1492" s="1">
        <f>45923</f>
        <v>45923</v>
      </c>
      <c r="H1492" t="s">
        <v>1755</v>
      </c>
      <c r="I1492" s="2">
        <v>436.2</v>
      </c>
      <c r="J1492" s="2">
        <v>244.14</v>
      </c>
      <c r="K1492" s="2">
        <v>192.06</v>
      </c>
      <c r="L1492" s="2">
        <v>44.03</v>
      </c>
      <c r="M1492" s="2">
        <v>436.2</v>
      </c>
      <c r="N1492" s="2">
        <v>244.14</v>
      </c>
      <c r="O1492" s="2">
        <v>140.56</v>
      </c>
      <c r="P1492" s="2">
        <v>44.03</v>
      </c>
    </row>
    <row r="1493" spans="1:16" x14ac:dyDescent="0.25">
      <c r="A1493" t="s">
        <v>15</v>
      </c>
      <c r="B1493" t="s">
        <v>1839</v>
      </c>
      <c r="C1493" t="s">
        <v>58</v>
      </c>
      <c r="D1493" t="s">
        <v>1897</v>
      </c>
      <c r="E1493" t="s">
        <v>19</v>
      </c>
      <c r="F1493" t="s">
        <v>67</v>
      </c>
      <c r="G1493" s="1">
        <f>45923</f>
        <v>45923</v>
      </c>
      <c r="H1493" t="s">
        <v>56</v>
      </c>
      <c r="I1493" s="2">
        <v>181.42</v>
      </c>
      <c r="J1493" s="2">
        <v>128.52000000000001</v>
      </c>
      <c r="K1493" s="2">
        <v>52.9</v>
      </c>
      <c r="L1493" s="2">
        <v>29.16</v>
      </c>
      <c r="M1493" s="2">
        <v>181.42</v>
      </c>
      <c r="N1493" s="2">
        <v>127.76</v>
      </c>
      <c r="O1493" s="2">
        <v>42.32</v>
      </c>
      <c r="P1493" s="2">
        <v>29.58</v>
      </c>
    </row>
    <row r="1494" spans="1:16" x14ac:dyDescent="0.25">
      <c r="A1494" t="s">
        <v>15</v>
      </c>
      <c r="B1494" t="s">
        <v>1839</v>
      </c>
      <c r="C1494" t="s">
        <v>58</v>
      </c>
      <c r="D1494" t="s">
        <v>1898</v>
      </c>
      <c r="E1494" t="s">
        <v>19</v>
      </c>
      <c r="F1494" t="s">
        <v>64</v>
      </c>
      <c r="G1494" s="1">
        <f>45924</f>
        <v>45924</v>
      </c>
      <c r="H1494" t="s">
        <v>56</v>
      </c>
      <c r="I1494" s="2">
        <v>815.84</v>
      </c>
      <c r="J1494" s="2">
        <v>595.54</v>
      </c>
      <c r="K1494" s="2">
        <v>220.3</v>
      </c>
      <c r="L1494" s="2">
        <v>27</v>
      </c>
      <c r="M1494" s="2">
        <v>815.84</v>
      </c>
      <c r="N1494" s="2">
        <v>571.08000000000004</v>
      </c>
      <c r="O1494" s="2">
        <v>160.76</v>
      </c>
      <c r="P1494" s="2">
        <v>30</v>
      </c>
    </row>
    <row r="1495" spans="1:16" x14ac:dyDescent="0.25">
      <c r="A1495" t="s">
        <v>15</v>
      </c>
      <c r="B1495" t="s">
        <v>1839</v>
      </c>
      <c r="C1495" t="s">
        <v>58</v>
      </c>
      <c r="D1495" t="s">
        <v>1899</v>
      </c>
      <c r="E1495" t="s">
        <v>19</v>
      </c>
      <c r="F1495" t="s">
        <v>131</v>
      </c>
      <c r="G1495" s="1">
        <f>45924</f>
        <v>45924</v>
      </c>
      <c r="H1495" t="s">
        <v>1755</v>
      </c>
      <c r="I1495" s="2">
        <v>1314.69</v>
      </c>
      <c r="J1495" s="2">
        <v>894</v>
      </c>
      <c r="K1495" s="2">
        <v>420.69</v>
      </c>
      <c r="L1495" s="2">
        <v>32</v>
      </c>
      <c r="M1495" s="2">
        <v>1314.69</v>
      </c>
      <c r="N1495" s="2">
        <v>894</v>
      </c>
      <c r="O1495" s="2">
        <v>420.69</v>
      </c>
      <c r="P1495" s="2">
        <v>32</v>
      </c>
    </row>
    <row r="1496" spans="1:16" x14ac:dyDescent="0.25">
      <c r="A1496" t="s">
        <v>15</v>
      </c>
      <c r="B1496" t="s">
        <v>1839</v>
      </c>
      <c r="C1496" t="s">
        <v>58</v>
      </c>
      <c r="D1496" t="s">
        <v>1900</v>
      </c>
      <c r="E1496" t="s">
        <v>47</v>
      </c>
      <c r="F1496" t="s">
        <v>89</v>
      </c>
      <c r="G1496" s="1">
        <f>45924</f>
        <v>45924</v>
      </c>
      <c r="H1496" t="s">
        <v>56</v>
      </c>
      <c r="I1496" s="2">
        <v>3585</v>
      </c>
      <c r="J1496" s="2">
        <v>1910.55</v>
      </c>
      <c r="K1496" s="2">
        <v>1674.45</v>
      </c>
      <c r="L1496" s="2">
        <v>46.71</v>
      </c>
      <c r="M1496" s="2">
        <v>3585</v>
      </c>
      <c r="N1496" s="2">
        <v>1650.94</v>
      </c>
      <c r="O1496" s="2">
        <v>1860.06</v>
      </c>
      <c r="P1496" s="2">
        <v>53.95</v>
      </c>
    </row>
    <row r="1497" spans="1:16" x14ac:dyDescent="0.25">
      <c r="A1497" t="s">
        <v>15</v>
      </c>
      <c r="B1497" t="s">
        <v>1839</v>
      </c>
      <c r="C1497" t="s">
        <v>58</v>
      </c>
      <c r="D1497" t="s">
        <v>1901</v>
      </c>
      <c r="E1497" t="s">
        <v>19</v>
      </c>
      <c r="F1497" t="s">
        <v>131</v>
      </c>
      <c r="G1497" s="1">
        <f>45926</f>
        <v>45926</v>
      </c>
      <c r="H1497" t="s">
        <v>1755</v>
      </c>
      <c r="I1497" s="2">
        <v>1861.18</v>
      </c>
      <c r="J1497" s="2">
        <v>1266.4100000000001</v>
      </c>
      <c r="K1497" s="2">
        <v>594.77</v>
      </c>
      <c r="L1497" s="2">
        <v>31.96</v>
      </c>
      <c r="M1497" s="2">
        <v>1861.18</v>
      </c>
      <c r="N1497" s="2">
        <v>1266.4100000000001</v>
      </c>
      <c r="O1497" s="2">
        <v>558.72</v>
      </c>
      <c r="P1497" s="2">
        <v>31.96</v>
      </c>
    </row>
    <row r="1498" spans="1:16" x14ac:dyDescent="0.25">
      <c r="A1498" t="s">
        <v>15</v>
      </c>
      <c r="B1498" t="s">
        <v>1839</v>
      </c>
      <c r="C1498" t="s">
        <v>58</v>
      </c>
      <c r="D1498" t="s">
        <v>1902</v>
      </c>
      <c r="E1498" t="s">
        <v>19</v>
      </c>
      <c r="F1498" t="s">
        <v>408</v>
      </c>
      <c r="G1498" s="1">
        <f>45929</f>
        <v>45929</v>
      </c>
      <c r="H1498" t="s">
        <v>56</v>
      </c>
      <c r="I1498" s="2">
        <v>1094.5</v>
      </c>
      <c r="J1498" s="2">
        <v>677.7</v>
      </c>
      <c r="K1498" s="2">
        <v>416.8</v>
      </c>
      <c r="L1498" s="2">
        <v>38.08</v>
      </c>
      <c r="M1498" s="2">
        <v>1094.5</v>
      </c>
      <c r="N1498" s="2">
        <v>677.76</v>
      </c>
      <c r="O1498" s="2">
        <v>401.74</v>
      </c>
      <c r="P1498" s="2">
        <v>38.08</v>
      </c>
    </row>
    <row r="1499" spans="1:16" x14ac:dyDescent="0.25">
      <c r="A1499" t="s">
        <v>15</v>
      </c>
      <c r="B1499" t="s">
        <v>1839</v>
      </c>
      <c r="C1499" t="s">
        <v>58</v>
      </c>
      <c r="D1499" t="s">
        <v>1903</v>
      </c>
      <c r="E1499" t="s">
        <v>19</v>
      </c>
      <c r="F1499" t="s">
        <v>427</v>
      </c>
      <c r="G1499" s="1">
        <f>45929</f>
        <v>45929</v>
      </c>
      <c r="H1499" t="s">
        <v>56</v>
      </c>
      <c r="I1499" s="2">
        <v>412</v>
      </c>
      <c r="J1499" s="2">
        <v>280.64</v>
      </c>
      <c r="K1499" s="2">
        <v>131.36000000000001</v>
      </c>
      <c r="L1499" s="2">
        <v>31.88</v>
      </c>
      <c r="M1499" s="2">
        <v>412</v>
      </c>
      <c r="N1499" s="2">
        <v>280.64</v>
      </c>
      <c r="O1499" s="2">
        <v>97.36</v>
      </c>
      <c r="P1499" s="2">
        <v>31.88</v>
      </c>
    </row>
    <row r="1500" spans="1:16" x14ac:dyDescent="0.25">
      <c r="A1500" t="s">
        <v>15</v>
      </c>
      <c r="B1500" t="s">
        <v>1839</v>
      </c>
      <c r="C1500" t="s">
        <v>58</v>
      </c>
      <c r="D1500" t="s">
        <v>1904</v>
      </c>
      <c r="E1500" t="s">
        <v>19</v>
      </c>
      <c r="F1500" t="s">
        <v>465</v>
      </c>
      <c r="G1500" s="1">
        <f>45930</f>
        <v>45930</v>
      </c>
      <c r="H1500" t="s">
        <v>56</v>
      </c>
      <c r="I1500" s="2">
        <v>967.04</v>
      </c>
      <c r="J1500" s="2">
        <v>700.56</v>
      </c>
      <c r="K1500" s="2">
        <v>266.48</v>
      </c>
      <c r="L1500" s="2">
        <v>27.56</v>
      </c>
      <c r="M1500" s="2">
        <v>967.04</v>
      </c>
      <c r="N1500" s="2">
        <v>695.29</v>
      </c>
      <c r="O1500" s="2">
        <v>257.55</v>
      </c>
      <c r="P1500" s="2">
        <v>28.1</v>
      </c>
    </row>
    <row r="1501" spans="1:16" x14ac:dyDescent="0.25">
      <c r="A1501" t="s">
        <v>15</v>
      </c>
      <c r="B1501" t="s">
        <v>1839</v>
      </c>
      <c r="C1501" t="s">
        <v>58</v>
      </c>
      <c r="D1501" t="s">
        <v>1905</v>
      </c>
      <c r="E1501" t="s">
        <v>47</v>
      </c>
      <c r="F1501" t="s">
        <v>702</v>
      </c>
      <c r="G1501" s="1">
        <f>45919</f>
        <v>45919</v>
      </c>
      <c r="H1501" t="s">
        <v>56</v>
      </c>
      <c r="I1501" s="2">
        <v>5702.4</v>
      </c>
      <c r="J1501" s="2">
        <v>3257.82</v>
      </c>
      <c r="K1501" s="2">
        <v>2444.58</v>
      </c>
      <c r="L1501" s="2">
        <v>42.87</v>
      </c>
      <c r="M1501" s="2">
        <v>5702.4</v>
      </c>
      <c r="N1501" s="2">
        <v>3391.45</v>
      </c>
      <c r="O1501" s="2">
        <v>2228.9499999999998</v>
      </c>
      <c r="P1501" s="2">
        <v>40.53</v>
      </c>
    </row>
    <row r="1502" spans="1:16" x14ac:dyDescent="0.25">
      <c r="A1502" t="s">
        <v>15</v>
      </c>
      <c r="B1502" t="s">
        <v>1839</v>
      </c>
      <c r="C1502" t="s">
        <v>58</v>
      </c>
      <c r="D1502" t="s">
        <v>1906</v>
      </c>
      <c r="E1502" t="s">
        <v>19</v>
      </c>
      <c r="F1502" t="s">
        <v>964</v>
      </c>
      <c r="G1502" s="1">
        <f>45915</f>
        <v>45915</v>
      </c>
      <c r="H1502" t="s">
        <v>56</v>
      </c>
      <c r="I1502" s="2">
        <v>2941</v>
      </c>
      <c r="J1502" s="2">
        <v>2141.2600000000002</v>
      </c>
      <c r="K1502" s="2">
        <v>799.74</v>
      </c>
      <c r="L1502" s="2">
        <v>27.19</v>
      </c>
      <c r="M1502" s="2">
        <v>2941</v>
      </c>
      <c r="N1502" s="2">
        <v>2141.2600000000002</v>
      </c>
      <c r="O1502" s="2">
        <v>720.74</v>
      </c>
      <c r="P1502" s="2">
        <v>27.19</v>
      </c>
    </row>
    <row r="1503" spans="1:16" x14ac:dyDescent="0.25">
      <c r="A1503" t="s">
        <v>15</v>
      </c>
      <c r="B1503" t="s">
        <v>1839</v>
      </c>
      <c r="C1503" t="s">
        <v>58</v>
      </c>
      <c r="D1503" t="s">
        <v>1907</v>
      </c>
      <c r="E1503" t="s">
        <v>19</v>
      </c>
      <c r="F1503" t="s">
        <v>964</v>
      </c>
      <c r="G1503" s="1">
        <f>45926</f>
        <v>45926</v>
      </c>
      <c r="H1503" t="s">
        <v>56</v>
      </c>
      <c r="I1503" s="2">
        <v>477.2</v>
      </c>
      <c r="J1503" s="2">
        <v>302.02999999999997</v>
      </c>
      <c r="K1503" s="2">
        <v>175.17</v>
      </c>
      <c r="L1503" s="2">
        <v>36.71</v>
      </c>
      <c r="M1503" s="2">
        <v>477.2</v>
      </c>
      <c r="N1503" s="2">
        <v>302.02999999999997</v>
      </c>
      <c r="O1503" s="2">
        <v>125.17</v>
      </c>
      <c r="P1503" s="2">
        <v>36.71</v>
      </c>
    </row>
    <row r="1504" spans="1:16" x14ac:dyDescent="0.25">
      <c r="A1504" t="s">
        <v>15</v>
      </c>
      <c r="B1504" t="s">
        <v>1839</v>
      </c>
      <c r="C1504" t="s">
        <v>187</v>
      </c>
      <c r="D1504" t="s">
        <v>1908</v>
      </c>
      <c r="E1504" t="s">
        <v>19</v>
      </c>
      <c r="F1504" t="s">
        <v>507</v>
      </c>
      <c r="G1504" s="1">
        <f>45902</f>
        <v>45902</v>
      </c>
      <c r="H1504" t="s">
        <v>1755</v>
      </c>
      <c r="I1504" s="2">
        <v>815.5</v>
      </c>
      <c r="J1504" s="2">
        <v>497</v>
      </c>
      <c r="K1504" s="2">
        <v>318.5</v>
      </c>
      <c r="L1504" s="2">
        <v>39.06</v>
      </c>
      <c r="M1504" s="2">
        <v>815.5</v>
      </c>
      <c r="N1504" s="2">
        <v>497.5</v>
      </c>
      <c r="O1504" s="2">
        <v>263</v>
      </c>
      <c r="P1504" s="2">
        <v>38.99</v>
      </c>
    </row>
    <row r="1505" spans="1:16" x14ac:dyDescent="0.25">
      <c r="A1505" t="s">
        <v>15</v>
      </c>
      <c r="B1505" t="s">
        <v>1839</v>
      </c>
      <c r="C1505" t="s">
        <v>187</v>
      </c>
      <c r="D1505" t="s">
        <v>1909</v>
      </c>
      <c r="E1505" t="s">
        <v>47</v>
      </c>
      <c r="F1505" t="s">
        <v>213</v>
      </c>
      <c r="G1505" s="1">
        <f>45902</f>
        <v>45902</v>
      </c>
      <c r="H1505" t="s">
        <v>51</v>
      </c>
      <c r="I1505" s="2">
        <v>2293.1999999999998</v>
      </c>
      <c r="J1505" s="2">
        <v>1387.72</v>
      </c>
      <c r="K1505" s="2">
        <v>905.48</v>
      </c>
      <c r="L1505" s="2">
        <v>39.49</v>
      </c>
      <c r="M1505" s="2">
        <v>2293.1999999999998</v>
      </c>
      <c r="N1505" s="2">
        <v>1387.72</v>
      </c>
      <c r="O1505" s="2">
        <v>827.48</v>
      </c>
      <c r="P1505" s="2">
        <v>39.49</v>
      </c>
    </row>
    <row r="1506" spans="1:16" x14ac:dyDescent="0.25">
      <c r="A1506" t="s">
        <v>15</v>
      </c>
      <c r="B1506" t="s">
        <v>1839</v>
      </c>
      <c r="C1506" t="s">
        <v>187</v>
      </c>
      <c r="D1506" t="s">
        <v>1910</v>
      </c>
      <c r="E1506" t="s">
        <v>19</v>
      </c>
      <c r="F1506" t="s">
        <v>233</v>
      </c>
      <c r="G1506" s="1">
        <f>45902</f>
        <v>45902</v>
      </c>
      <c r="H1506" t="s">
        <v>1755</v>
      </c>
      <c r="I1506" s="2">
        <v>233.12</v>
      </c>
      <c r="J1506" s="2">
        <v>156.68</v>
      </c>
      <c r="K1506" s="2">
        <v>76.44</v>
      </c>
      <c r="L1506" s="2">
        <v>32.79</v>
      </c>
      <c r="M1506" s="2">
        <v>233.12</v>
      </c>
      <c r="N1506" s="2">
        <v>156.68</v>
      </c>
      <c r="O1506" s="2">
        <v>67.44</v>
      </c>
      <c r="P1506" s="2">
        <v>32.79</v>
      </c>
    </row>
    <row r="1507" spans="1:16" x14ac:dyDescent="0.25">
      <c r="A1507" t="s">
        <v>15</v>
      </c>
      <c r="B1507" t="s">
        <v>1839</v>
      </c>
      <c r="C1507" t="s">
        <v>187</v>
      </c>
      <c r="D1507" t="s">
        <v>1911</v>
      </c>
      <c r="E1507" t="s">
        <v>19</v>
      </c>
      <c r="F1507" t="s">
        <v>224</v>
      </c>
      <c r="G1507" s="1">
        <f>45903</f>
        <v>45903</v>
      </c>
      <c r="H1507" t="s">
        <v>1755</v>
      </c>
      <c r="I1507" s="2">
        <v>932.9</v>
      </c>
      <c r="J1507" s="2">
        <v>628.85</v>
      </c>
      <c r="K1507" s="2">
        <v>304.05</v>
      </c>
      <c r="L1507" s="2">
        <v>32.590000000000003</v>
      </c>
      <c r="M1507" s="2">
        <v>932.9</v>
      </c>
      <c r="N1507" s="2">
        <v>628.85</v>
      </c>
      <c r="O1507" s="2">
        <v>266.05</v>
      </c>
      <c r="P1507" s="2">
        <v>32.590000000000003</v>
      </c>
    </row>
    <row r="1508" spans="1:16" x14ac:dyDescent="0.25">
      <c r="A1508" t="s">
        <v>15</v>
      </c>
      <c r="B1508" t="s">
        <v>1839</v>
      </c>
      <c r="C1508" t="s">
        <v>187</v>
      </c>
      <c r="D1508" t="s">
        <v>1912</v>
      </c>
      <c r="E1508" t="s">
        <v>19</v>
      </c>
      <c r="F1508" t="s">
        <v>191</v>
      </c>
      <c r="G1508" s="1">
        <f>45904</f>
        <v>45904</v>
      </c>
      <c r="H1508" t="s">
        <v>1755</v>
      </c>
      <c r="I1508" s="2">
        <v>515.20000000000005</v>
      </c>
      <c r="J1508" s="2">
        <v>343.1</v>
      </c>
      <c r="K1508" s="2">
        <v>172.1</v>
      </c>
      <c r="L1508" s="2">
        <v>33.4</v>
      </c>
      <c r="M1508" s="2">
        <v>515.20000000000005</v>
      </c>
      <c r="N1508" s="2">
        <v>343.1</v>
      </c>
      <c r="O1508" s="2">
        <v>133.1</v>
      </c>
      <c r="P1508" s="2">
        <v>33.4</v>
      </c>
    </row>
    <row r="1509" spans="1:16" x14ac:dyDescent="0.25">
      <c r="A1509" t="s">
        <v>15</v>
      </c>
      <c r="B1509" t="s">
        <v>1839</v>
      </c>
      <c r="C1509" t="s">
        <v>187</v>
      </c>
      <c r="D1509" t="s">
        <v>1913</v>
      </c>
      <c r="E1509" t="s">
        <v>19</v>
      </c>
      <c r="F1509" t="s">
        <v>219</v>
      </c>
      <c r="G1509" s="1">
        <f>45904</f>
        <v>45904</v>
      </c>
      <c r="H1509" t="s">
        <v>1755</v>
      </c>
      <c r="I1509" s="2">
        <v>174.55</v>
      </c>
      <c r="J1509" s="2">
        <v>123.38</v>
      </c>
      <c r="K1509" s="2">
        <v>51.17</v>
      </c>
      <c r="L1509" s="2">
        <v>29.32</v>
      </c>
      <c r="M1509" s="2">
        <v>174.55</v>
      </c>
      <c r="N1509" s="2">
        <v>123.3</v>
      </c>
      <c r="O1509" s="2">
        <v>40.07</v>
      </c>
      <c r="P1509" s="2">
        <v>29.36</v>
      </c>
    </row>
    <row r="1510" spans="1:16" x14ac:dyDescent="0.25">
      <c r="A1510" t="s">
        <v>15</v>
      </c>
      <c r="B1510" t="s">
        <v>1839</v>
      </c>
      <c r="C1510" t="s">
        <v>187</v>
      </c>
      <c r="D1510" t="s">
        <v>1914</v>
      </c>
      <c r="E1510" t="s">
        <v>19</v>
      </c>
      <c r="F1510" t="s">
        <v>1915</v>
      </c>
      <c r="G1510" s="1">
        <f>45905</f>
        <v>45905</v>
      </c>
      <c r="H1510" t="s">
        <v>1755</v>
      </c>
      <c r="I1510" s="2">
        <v>339.64</v>
      </c>
      <c r="J1510" s="2">
        <v>214.38</v>
      </c>
      <c r="K1510" s="2">
        <v>125.26</v>
      </c>
      <c r="L1510" s="2">
        <v>36.880000000000003</v>
      </c>
      <c r="M1510" s="2">
        <v>339.64</v>
      </c>
      <c r="N1510" s="2">
        <v>214.38</v>
      </c>
      <c r="O1510" s="2">
        <v>88.26</v>
      </c>
      <c r="P1510" s="2">
        <v>36.880000000000003</v>
      </c>
    </row>
    <row r="1511" spans="1:16" x14ac:dyDescent="0.25">
      <c r="A1511" t="s">
        <v>15</v>
      </c>
      <c r="B1511" t="s">
        <v>1839</v>
      </c>
      <c r="C1511" t="s">
        <v>187</v>
      </c>
      <c r="D1511" t="s">
        <v>1916</v>
      </c>
      <c r="E1511" t="s">
        <v>19</v>
      </c>
      <c r="F1511" t="s">
        <v>1917</v>
      </c>
      <c r="G1511" s="1">
        <f>45909</f>
        <v>45909</v>
      </c>
      <c r="H1511" t="s">
        <v>1755</v>
      </c>
      <c r="I1511" s="2">
        <v>2135.1</v>
      </c>
      <c r="J1511" s="2">
        <v>1442.28</v>
      </c>
      <c r="K1511" s="2">
        <v>692.82</v>
      </c>
      <c r="L1511" s="2">
        <v>32.450000000000003</v>
      </c>
      <c r="M1511" s="2">
        <v>2135.1</v>
      </c>
      <c r="N1511" s="2">
        <v>1442.28</v>
      </c>
      <c r="O1511" s="2">
        <v>646.82000000000005</v>
      </c>
      <c r="P1511" s="2">
        <v>32.450000000000003</v>
      </c>
    </row>
    <row r="1512" spans="1:16" x14ac:dyDescent="0.25">
      <c r="A1512" t="s">
        <v>15</v>
      </c>
      <c r="B1512" t="s">
        <v>1839</v>
      </c>
      <c r="C1512" t="s">
        <v>187</v>
      </c>
      <c r="D1512" t="s">
        <v>1918</v>
      </c>
      <c r="E1512" t="s">
        <v>19</v>
      </c>
      <c r="F1512" t="s">
        <v>1028</v>
      </c>
      <c r="G1512" s="1">
        <f>45911</f>
        <v>45911</v>
      </c>
      <c r="H1512" t="s">
        <v>1755</v>
      </c>
      <c r="I1512" s="2">
        <v>2793.4</v>
      </c>
      <c r="J1512" s="2">
        <v>1893.45</v>
      </c>
      <c r="K1512" s="2">
        <v>899.95</v>
      </c>
      <c r="L1512" s="2">
        <v>32.22</v>
      </c>
      <c r="M1512" s="2">
        <v>2793.4</v>
      </c>
      <c r="N1512" s="2">
        <v>1893.45</v>
      </c>
      <c r="O1512" s="2">
        <v>877.95</v>
      </c>
      <c r="P1512" s="2">
        <v>32.22</v>
      </c>
    </row>
    <row r="1513" spans="1:16" x14ac:dyDescent="0.25">
      <c r="A1513" t="s">
        <v>15</v>
      </c>
      <c r="B1513" t="s">
        <v>1839</v>
      </c>
      <c r="C1513" t="s">
        <v>187</v>
      </c>
      <c r="D1513" t="s">
        <v>1919</v>
      </c>
      <c r="E1513" t="s">
        <v>19</v>
      </c>
      <c r="F1513" t="s">
        <v>189</v>
      </c>
      <c r="G1513" s="1">
        <f>45912</f>
        <v>45912</v>
      </c>
      <c r="H1513" t="s">
        <v>1755</v>
      </c>
      <c r="I1513" s="2">
        <v>252.2</v>
      </c>
      <c r="J1513" s="2">
        <v>132.5</v>
      </c>
      <c r="K1513" s="2">
        <v>119.7</v>
      </c>
      <c r="L1513" s="2">
        <v>47.46</v>
      </c>
      <c r="M1513" s="2">
        <v>252.2</v>
      </c>
      <c r="N1513" s="2">
        <v>132.5</v>
      </c>
      <c r="O1513" s="2">
        <v>109.7</v>
      </c>
      <c r="P1513" s="2">
        <v>47.46</v>
      </c>
    </row>
    <row r="1514" spans="1:16" x14ac:dyDescent="0.25">
      <c r="A1514" t="s">
        <v>15</v>
      </c>
      <c r="B1514" t="s">
        <v>1839</v>
      </c>
      <c r="C1514" t="s">
        <v>187</v>
      </c>
      <c r="D1514" t="s">
        <v>1920</v>
      </c>
      <c r="E1514" t="s">
        <v>19</v>
      </c>
      <c r="F1514" t="s">
        <v>1754</v>
      </c>
      <c r="G1514" s="1">
        <f>45912</f>
        <v>45912</v>
      </c>
      <c r="H1514" t="s">
        <v>1755</v>
      </c>
      <c r="I1514" s="2">
        <v>1515.9</v>
      </c>
      <c r="J1514" s="2">
        <v>1061.1500000000001</v>
      </c>
      <c r="K1514" s="2">
        <v>454.75</v>
      </c>
      <c r="L1514" s="2">
        <v>30</v>
      </c>
      <c r="M1514" s="2">
        <v>1515.9</v>
      </c>
      <c r="N1514" s="2">
        <v>1061.1500000000001</v>
      </c>
      <c r="O1514" s="2">
        <v>414.75</v>
      </c>
      <c r="P1514" s="2">
        <v>30</v>
      </c>
    </row>
    <row r="1515" spans="1:16" x14ac:dyDescent="0.25">
      <c r="A1515" t="s">
        <v>15</v>
      </c>
      <c r="B1515" t="s">
        <v>1839</v>
      </c>
      <c r="C1515" t="s">
        <v>187</v>
      </c>
      <c r="D1515" t="s">
        <v>1921</v>
      </c>
      <c r="E1515" t="s">
        <v>19</v>
      </c>
      <c r="F1515" t="s">
        <v>215</v>
      </c>
      <c r="G1515" s="1">
        <f>45912</f>
        <v>45912</v>
      </c>
      <c r="H1515" t="s">
        <v>1755</v>
      </c>
      <c r="I1515" s="2">
        <v>241.2</v>
      </c>
      <c r="J1515" s="2">
        <v>167</v>
      </c>
      <c r="K1515" s="2">
        <v>74.2</v>
      </c>
      <c r="L1515" s="2">
        <v>30.76</v>
      </c>
      <c r="M1515" s="2">
        <v>241.2</v>
      </c>
      <c r="N1515" s="2">
        <v>186</v>
      </c>
      <c r="O1515" s="2">
        <v>-48.8</v>
      </c>
      <c r="P1515" s="2">
        <v>22.89</v>
      </c>
    </row>
    <row r="1516" spans="1:16" x14ac:dyDescent="0.25">
      <c r="A1516" t="s">
        <v>15</v>
      </c>
      <c r="B1516" t="s">
        <v>1839</v>
      </c>
      <c r="C1516" t="s">
        <v>187</v>
      </c>
      <c r="D1516" t="s">
        <v>1922</v>
      </c>
      <c r="E1516" t="s">
        <v>19</v>
      </c>
      <c r="F1516" t="s">
        <v>189</v>
      </c>
      <c r="G1516" s="1">
        <f>45912</f>
        <v>45912</v>
      </c>
      <c r="H1516" t="s">
        <v>1755</v>
      </c>
      <c r="I1516" s="2">
        <v>876.7</v>
      </c>
      <c r="J1516" s="2">
        <v>559.55999999999995</v>
      </c>
      <c r="K1516" s="2">
        <v>317.14</v>
      </c>
      <c r="L1516" s="2">
        <v>36.17</v>
      </c>
      <c r="M1516" s="2">
        <v>876.7</v>
      </c>
      <c r="N1516" s="2">
        <v>559.55999999999995</v>
      </c>
      <c r="O1516" s="2">
        <v>308.14</v>
      </c>
      <c r="P1516" s="2">
        <v>36.17</v>
      </c>
    </row>
    <row r="1517" spans="1:16" x14ac:dyDescent="0.25">
      <c r="A1517" t="s">
        <v>15</v>
      </c>
      <c r="B1517" t="s">
        <v>1839</v>
      </c>
      <c r="C1517" t="s">
        <v>187</v>
      </c>
      <c r="D1517" t="s">
        <v>1923</v>
      </c>
      <c r="E1517" t="s">
        <v>19</v>
      </c>
      <c r="F1517" t="s">
        <v>219</v>
      </c>
      <c r="G1517" s="1">
        <f>45915</f>
        <v>45915</v>
      </c>
      <c r="H1517" t="s">
        <v>1755</v>
      </c>
      <c r="I1517" s="2">
        <v>185.7</v>
      </c>
      <c r="J1517" s="2">
        <v>129.31</v>
      </c>
      <c r="K1517" s="2">
        <v>56.38</v>
      </c>
      <c r="L1517" s="2">
        <v>30.36</v>
      </c>
      <c r="M1517" s="2">
        <v>185.7</v>
      </c>
      <c r="N1517" s="2">
        <v>129.32</v>
      </c>
      <c r="O1517" s="2">
        <v>47.38</v>
      </c>
      <c r="P1517" s="2">
        <v>30.36</v>
      </c>
    </row>
    <row r="1518" spans="1:16" x14ac:dyDescent="0.25">
      <c r="A1518" t="s">
        <v>15</v>
      </c>
      <c r="B1518" t="s">
        <v>1839</v>
      </c>
      <c r="C1518" t="s">
        <v>187</v>
      </c>
      <c r="D1518" t="s">
        <v>1924</v>
      </c>
      <c r="E1518" t="s">
        <v>19</v>
      </c>
      <c r="F1518" t="s">
        <v>1925</v>
      </c>
      <c r="G1518" s="1">
        <f>45915</f>
        <v>45915</v>
      </c>
      <c r="H1518" t="s">
        <v>1755</v>
      </c>
      <c r="I1518" s="2">
        <v>867</v>
      </c>
      <c r="J1518" s="2">
        <v>581.9</v>
      </c>
      <c r="K1518" s="2">
        <v>285.10000000000002</v>
      </c>
      <c r="L1518" s="2">
        <v>32.880000000000003</v>
      </c>
      <c r="M1518" s="2">
        <v>867</v>
      </c>
      <c r="N1518" s="2">
        <v>590.9</v>
      </c>
      <c r="O1518" s="2">
        <v>242.1</v>
      </c>
      <c r="P1518" s="2">
        <v>31.85</v>
      </c>
    </row>
    <row r="1519" spans="1:16" x14ac:dyDescent="0.25">
      <c r="A1519" t="s">
        <v>15</v>
      </c>
      <c r="B1519" t="s">
        <v>1839</v>
      </c>
      <c r="C1519" t="s">
        <v>187</v>
      </c>
      <c r="D1519" t="s">
        <v>1926</v>
      </c>
      <c r="E1519" t="s">
        <v>19</v>
      </c>
      <c r="F1519" t="s">
        <v>505</v>
      </c>
      <c r="G1519" s="1">
        <f>45915</f>
        <v>45915</v>
      </c>
      <c r="H1519" t="s">
        <v>1755</v>
      </c>
      <c r="I1519" s="2">
        <v>488</v>
      </c>
      <c r="J1519" s="2">
        <v>330.16</v>
      </c>
      <c r="K1519" s="2">
        <v>157.84</v>
      </c>
      <c r="L1519" s="2">
        <v>32.340000000000003</v>
      </c>
      <c r="M1519" s="2">
        <v>488</v>
      </c>
      <c r="N1519" s="2">
        <v>330.15</v>
      </c>
      <c r="O1519" s="2">
        <v>145.99</v>
      </c>
      <c r="P1519" s="2">
        <v>32.35</v>
      </c>
    </row>
    <row r="1520" spans="1:16" x14ac:dyDescent="0.25">
      <c r="A1520" t="s">
        <v>15</v>
      </c>
      <c r="B1520" t="s">
        <v>1839</v>
      </c>
      <c r="C1520" t="s">
        <v>187</v>
      </c>
      <c r="D1520" t="s">
        <v>1927</v>
      </c>
      <c r="E1520" t="s">
        <v>47</v>
      </c>
      <c r="F1520" t="s">
        <v>1229</v>
      </c>
      <c r="G1520" s="1">
        <f>45916</f>
        <v>45916</v>
      </c>
      <c r="H1520" t="s">
        <v>1755</v>
      </c>
      <c r="I1520" s="2">
        <v>3163</v>
      </c>
      <c r="J1520" s="2">
        <v>2144.2399999999998</v>
      </c>
      <c r="K1520" s="2">
        <v>1018.76</v>
      </c>
      <c r="L1520" s="2">
        <v>32.21</v>
      </c>
      <c r="M1520" s="2">
        <v>3163</v>
      </c>
      <c r="N1520" s="2">
        <v>2144.2399999999998</v>
      </c>
      <c r="O1520" s="2">
        <v>861.76</v>
      </c>
      <c r="P1520" s="2">
        <v>32.21</v>
      </c>
    </row>
    <row r="1521" spans="1:16" x14ac:dyDescent="0.25">
      <c r="A1521" t="s">
        <v>15</v>
      </c>
      <c r="B1521" t="s">
        <v>1839</v>
      </c>
      <c r="C1521" t="s">
        <v>187</v>
      </c>
      <c r="D1521" t="s">
        <v>1928</v>
      </c>
      <c r="E1521" t="s">
        <v>19</v>
      </c>
      <c r="F1521" t="s">
        <v>1028</v>
      </c>
      <c r="G1521" s="1">
        <f>45916</f>
        <v>45916</v>
      </c>
      <c r="H1521" t="s">
        <v>1755</v>
      </c>
      <c r="I1521" s="2">
        <v>347.3</v>
      </c>
      <c r="J1521" s="2">
        <v>250</v>
      </c>
      <c r="K1521" s="2">
        <v>97.3</v>
      </c>
      <c r="L1521" s="2">
        <v>28.02</v>
      </c>
      <c r="M1521" s="2">
        <v>347.3</v>
      </c>
      <c r="N1521" s="2">
        <v>250</v>
      </c>
      <c r="O1521" s="2">
        <v>53.3</v>
      </c>
      <c r="P1521" s="2">
        <v>28.02</v>
      </c>
    </row>
    <row r="1522" spans="1:16" x14ac:dyDescent="0.25">
      <c r="A1522" t="s">
        <v>15</v>
      </c>
      <c r="B1522" t="s">
        <v>1839</v>
      </c>
      <c r="C1522" t="s">
        <v>187</v>
      </c>
      <c r="D1522" t="s">
        <v>1929</v>
      </c>
      <c r="E1522" t="s">
        <v>19</v>
      </c>
      <c r="F1522" t="s">
        <v>191</v>
      </c>
      <c r="G1522" s="1">
        <f>45919</f>
        <v>45919</v>
      </c>
      <c r="H1522" t="s">
        <v>1755</v>
      </c>
      <c r="I1522" s="2">
        <v>21688.400000000001</v>
      </c>
      <c r="J1522" s="2">
        <v>15986.28</v>
      </c>
      <c r="K1522" s="2">
        <v>5702.12</v>
      </c>
      <c r="L1522" s="2">
        <v>26.29</v>
      </c>
      <c r="M1522" s="2">
        <v>21688.400000000001</v>
      </c>
      <c r="N1522" s="2">
        <v>15986.28</v>
      </c>
      <c r="O1522" s="2">
        <v>5702.12</v>
      </c>
      <c r="P1522" s="2">
        <v>26.29</v>
      </c>
    </row>
    <row r="1523" spans="1:16" x14ac:dyDescent="0.25">
      <c r="A1523" t="s">
        <v>15</v>
      </c>
      <c r="B1523" t="s">
        <v>1839</v>
      </c>
      <c r="C1523" t="s">
        <v>187</v>
      </c>
      <c r="D1523" t="s">
        <v>1930</v>
      </c>
      <c r="E1523" t="s">
        <v>47</v>
      </c>
      <c r="F1523" t="s">
        <v>217</v>
      </c>
      <c r="G1523" s="1">
        <f>45919</f>
        <v>45919</v>
      </c>
      <c r="H1523" t="s">
        <v>1755</v>
      </c>
      <c r="I1523" s="2">
        <v>18810</v>
      </c>
      <c r="J1523" s="2">
        <v>13211.78</v>
      </c>
      <c r="K1523" s="2">
        <v>5598.22</v>
      </c>
      <c r="L1523" s="2">
        <v>29.76</v>
      </c>
      <c r="M1523" s="2">
        <v>0</v>
      </c>
      <c r="N1523" s="2">
        <v>0</v>
      </c>
      <c r="O1523" s="2">
        <v>0</v>
      </c>
      <c r="P1523" s="2">
        <v>0</v>
      </c>
    </row>
    <row r="1524" spans="1:16" x14ac:dyDescent="0.25">
      <c r="A1524" t="s">
        <v>15</v>
      </c>
      <c r="B1524" t="s">
        <v>1839</v>
      </c>
      <c r="C1524" t="s">
        <v>187</v>
      </c>
      <c r="D1524" t="s">
        <v>1931</v>
      </c>
      <c r="E1524" t="s">
        <v>19</v>
      </c>
      <c r="F1524" t="s">
        <v>191</v>
      </c>
      <c r="G1524" s="1">
        <f>45922</f>
        <v>45922</v>
      </c>
      <c r="H1524" t="s">
        <v>1755</v>
      </c>
      <c r="I1524" s="2">
        <v>306.3</v>
      </c>
      <c r="J1524" s="2">
        <v>179.52</v>
      </c>
      <c r="K1524" s="2">
        <v>126.78</v>
      </c>
      <c r="L1524" s="2">
        <v>41.39</v>
      </c>
      <c r="M1524" s="2">
        <v>306.3</v>
      </c>
      <c r="N1524" s="2">
        <v>179.52</v>
      </c>
      <c r="O1524" s="2">
        <v>126.78</v>
      </c>
      <c r="P1524" s="2">
        <v>41.39</v>
      </c>
    </row>
    <row r="1525" spans="1:16" x14ac:dyDescent="0.25">
      <c r="A1525" t="s">
        <v>15</v>
      </c>
      <c r="B1525" t="s">
        <v>1839</v>
      </c>
      <c r="C1525" t="s">
        <v>187</v>
      </c>
      <c r="D1525" t="s">
        <v>1932</v>
      </c>
      <c r="E1525" t="s">
        <v>19</v>
      </c>
      <c r="F1525" t="s">
        <v>1028</v>
      </c>
      <c r="G1525" s="1">
        <f>45922</f>
        <v>45922</v>
      </c>
      <c r="H1525" t="s">
        <v>1755</v>
      </c>
      <c r="I1525" s="2">
        <v>590.29999999999995</v>
      </c>
      <c r="J1525" s="2">
        <v>320.08</v>
      </c>
      <c r="K1525" s="2">
        <v>270.22000000000003</v>
      </c>
      <c r="L1525" s="2">
        <v>45.78</v>
      </c>
      <c r="M1525" s="2">
        <v>590.29999999999995</v>
      </c>
      <c r="N1525" s="2">
        <v>320.08</v>
      </c>
      <c r="O1525" s="2">
        <v>260.22000000000003</v>
      </c>
      <c r="P1525" s="2">
        <v>45.78</v>
      </c>
    </row>
    <row r="1526" spans="1:16" x14ac:dyDescent="0.25">
      <c r="A1526" t="s">
        <v>15</v>
      </c>
      <c r="B1526" t="s">
        <v>1839</v>
      </c>
      <c r="C1526" t="s">
        <v>187</v>
      </c>
      <c r="D1526" t="s">
        <v>1933</v>
      </c>
      <c r="E1526" t="s">
        <v>19</v>
      </c>
      <c r="F1526" t="s">
        <v>189</v>
      </c>
      <c r="G1526" s="1">
        <f>45922</f>
        <v>45922</v>
      </c>
      <c r="H1526" t="s">
        <v>1755</v>
      </c>
      <c r="I1526" s="2">
        <v>6023.3</v>
      </c>
      <c r="J1526" s="2">
        <v>3952.16</v>
      </c>
      <c r="K1526" s="2">
        <v>2071.14</v>
      </c>
      <c r="L1526" s="2">
        <v>34.39</v>
      </c>
      <c r="M1526" s="2">
        <v>6023.3</v>
      </c>
      <c r="N1526" s="2">
        <v>3952.06</v>
      </c>
      <c r="O1526" s="2">
        <v>2009.28</v>
      </c>
      <c r="P1526" s="2">
        <v>34.39</v>
      </c>
    </row>
    <row r="1527" spans="1:16" x14ac:dyDescent="0.25">
      <c r="A1527" t="s">
        <v>15</v>
      </c>
      <c r="B1527" t="s">
        <v>1839</v>
      </c>
      <c r="C1527" t="s">
        <v>187</v>
      </c>
      <c r="D1527" t="s">
        <v>1934</v>
      </c>
      <c r="E1527" t="s">
        <v>19</v>
      </c>
      <c r="F1527" t="s">
        <v>1935</v>
      </c>
      <c r="G1527" s="1">
        <f>45923</f>
        <v>45923</v>
      </c>
      <c r="H1527" t="s">
        <v>1755</v>
      </c>
      <c r="I1527" s="2">
        <v>337.8</v>
      </c>
      <c r="J1527" s="2">
        <v>201.78</v>
      </c>
      <c r="K1527" s="2">
        <v>136.02000000000001</v>
      </c>
      <c r="L1527" s="2">
        <v>40.270000000000003</v>
      </c>
      <c r="M1527" s="2">
        <v>337.8</v>
      </c>
      <c r="N1527" s="2">
        <v>201.79</v>
      </c>
      <c r="O1527" s="2">
        <v>127.01</v>
      </c>
      <c r="P1527" s="2">
        <v>40.26</v>
      </c>
    </row>
    <row r="1528" spans="1:16" x14ac:dyDescent="0.25">
      <c r="A1528" t="s">
        <v>15</v>
      </c>
      <c r="B1528" t="s">
        <v>1839</v>
      </c>
      <c r="C1528" t="s">
        <v>187</v>
      </c>
      <c r="D1528" t="s">
        <v>1936</v>
      </c>
      <c r="E1528" t="s">
        <v>19</v>
      </c>
      <c r="F1528" t="s">
        <v>501</v>
      </c>
      <c r="G1528" s="1">
        <f>45925</f>
        <v>45925</v>
      </c>
      <c r="H1528" t="s">
        <v>1755</v>
      </c>
      <c r="I1528" s="2">
        <v>2920.32</v>
      </c>
      <c r="J1528" s="2">
        <v>2150</v>
      </c>
      <c r="K1528" s="2">
        <v>770.32</v>
      </c>
      <c r="L1528" s="2">
        <v>26.38</v>
      </c>
      <c r="M1528" s="2">
        <v>2920.32</v>
      </c>
      <c r="N1528" s="2">
        <v>2220.5</v>
      </c>
      <c r="O1528" s="2">
        <v>699.82</v>
      </c>
      <c r="P1528" s="2">
        <v>23.96</v>
      </c>
    </row>
    <row r="1529" spans="1:16" x14ac:dyDescent="0.25">
      <c r="A1529" t="s">
        <v>15</v>
      </c>
      <c r="B1529" t="s">
        <v>1839</v>
      </c>
      <c r="C1529" t="s">
        <v>187</v>
      </c>
      <c r="D1529" t="s">
        <v>1937</v>
      </c>
      <c r="E1529" t="s">
        <v>19</v>
      </c>
      <c r="F1529" t="s">
        <v>189</v>
      </c>
      <c r="G1529" s="1">
        <f>45926</f>
        <v>45926</v>
      </c>
      <c r="H1529" t="s">
        <v>1755</v>
      </c>
      <c r="I1529" s="2">
        <v>2753</v>
      </c>
      <c r="J1529" s="2">
        <v>1742</v>
      </c>
      <c r="K1529" s="2">
        <v>1011</v>
      </c>
      <c r="L1529" s="2">
        <v>36.72</v>
      </c>
      <c r="M1529" s="2">
        <v>2753</v>
      </c>
      <c r="N1529" s="2">
        <v>1742</v>
      </c>
      <c r="O1529" s="2">
        <v>1001</v>
      </c>
      <c r="P1529" s="2">
        <v>36.72</v>
      </c>
    </row>
    <row r="1530" spans="1:16" x14ac:dyDescent="0.25">
      <c r="A1530" t="s">
        <v>15</v>
      </c>
      <c r="B1530" t="s">
        <v>1839</v>
      </c>
      <c r="C1530" t="s">
        <v>187</v>
      </c>
      <c r="D1530" t="s">
        <v>1938</v>
      </c>
      <c r="E1530" t="s">
        <v>19</v>
      </c>
      <c r="F1530" t="s">
        <v>1615</v>
      </c>
      <c r="G1530" s="1">
        <f>45926</f>
        <v>45926</v>
      </c>
      <c r="H1530" t="s">
        <v>1755</v>
      </c>
      <c r="I1530" s="2">
        <v>2880.55</v>
      </c>
      <c r="J1530" s="2">
        <v>2003.86</v>
      </c>
      <c r="K1530" s="2">
        <v>876.69</v>
      </c>
      <c r="L1530" s="2">
        <v>30.43</v>
      </c>
      <c r="M1530" s="2">
        <v>2880.55</v>
      </c>
      <c r="N1530" s="2">
        <v>2031.38</v>
      </c>
      <c r="O1530" s="2">
        <v>809.65</v>
      </c>
      <c r="P1530" s="2">
        <v>29.48</v>
      </c>
    </row>
    <row r="1531" spans="1:16" x14ac:dyDescent="0.25">
      <c r="A1531" t="s">
        <v>15</v>
      </c>
      <c r="B1531" t="s">
        <v>1839</v>
      </c>
      <c r="C1531" t="s">
        <v>187</v>
      </c>
      <c r="D1531" t="s">
        <v>1939</v>
      </c>
      <c r="E1531" t="s">
        <v>19</v>
      </c>
      <c r="F1531" t="s">
        <v>228</v>
      </c>
      <c r="G1531" s="1">
        <f>45929</f>
        <v>45929</v>
      </c>
      <c r="H1531" t="s">
        <v>1755</v>
      </c>
      <c r="I1531" s="2">
        <v>610</v>
      </c>
      <c r="J1531" s="2">
        <v>321.8</v>
      </c>
      <c r="K1531" s="2">
        <v>288.2</v>
      </c>
      <c r="L1531" s="2">
        <v>47.25</v>
      </c>
      <c r="M1531" s="2">
        <v>610</v>
      </c>
      <c r="N1531" s="2">
        <v>321.8</v>
      </c>
      <c r="O1531" s="2">
        <v>242.2</v>
      </c>
      <c r="P1531" s="2">
        <v>47.25</v>
      </c>
    </row>
    <row r="1532" spans="1:16" x14ac:dyDescent="0.25">
      <c r="A1532" t="s">
        <v>15</v>
      </c>
      <c r="B1532" t="s">
        <v>1839</v>
      </c>
      <c r="C1532" t="s">
        <v>187</v>
      </c>
      <c r="D1532" t="s">
        <v>1940</v>
      </c>
      <c r="E1532" t="s">
        <v>19</v>
      </c>
      <c r="F1532" t="s">
        <v>528</v>
      </c>
      <c r="G1532" s="1">
        <f>45930</f>
        <v>45930</v>
      </c>
      <c r="H1532" t="s">
        <v>1755</v>
      </c>
      <c r="I1532" s="2">
        <v>2451.8000000000002</v>
      </c>
      <c r="J1532" s="2">
        <v>1757.38</v>
      </c>
      <c r="K1532" s="2">
        <v>694.42</v>
      </c>
      <c r="L1532" s="2">
        <v>28.32</v>
      </c>
      <c r="M1532" s="2">
        <v>2451.8000000000002</v>
      </c>
      <c r="N1532" s="2">
        <v>1757.3</v>
      </c>
      <c r="O1532" s="2">
        <v>651.5</v>
      </c>
      <c r="P1532" s="2">
        <v>28.33</v>
      </c>
    </row>
    <row r="1533" spans="1:16" x14ac:dyDescent="0.25">
      <c r="A1533" t="s">
        <v>15</v>
      </c>
      <c r="B1533" t="s">
        <v>1839</v>
      </c>
      <c r="C1533" t="s">
        <v>187</v>
      </c>
      <c r="D1533" t="s">
        <v>1941</v>
      </c>
      <c r="E1533" t="s">
        <v>19</v>
      </c>
      <c r="F1533" t="s">
        <v>1415</v>
      </c>
      <c r="G1533" s="1">
        <f>45902</f>
        <v>45902</v>
      </c>
      <c r="H1533" t="s">
        <v>1755</v>
      </c>
      <c r="I1533" s="2">
        <v>6145</v>
      </c>
      <c r="J1533" s="2">
        <v>3749.21</v>
      </c>
      <c r="K1533" s="2">
        <v>2395.79</v>
      </c>
      <c r="L1533" s="2">
        <v>38.99</v>
      </c>
      <c r="M1533" s="2">
        <v>6145</v>
      </c>
      <c r="N1533" s="2">
        <v>3690.07</v>
      </c>
      <c r="O1533" s="2">
        <v>2250.9299999999998</v>
      </c>
      <c r="P1533" s="2">
        <v>39.950000000000003</v>
      </c>
    </row>
    <row r="1534" spans="1:16" x14ac:dyDescent="0.25">
      <c r="A1534" t="s">
        <v>15</v>
      </c>
      <c r="B1534" t="s">
        <v>1839</v>
      </c>
      <c r="C1534" t="s">
        <v>252</v>
      </c>
      <c r="D1534" t="s">
        <v>1942</v>
      </c>
      <c r="E1534" t="s">
        <v>47</v>
      </c>
      <c r="F1534" t="s">
        <v>579</v>
      </c>
      <c r="G1534" s="1">
        <f>45901</f>
        <v>45901</v>
      </c>
      <c r="H1534" t="s">
        <v>2422</v>
      </c>
      <c r="I1534" s="2">
        <v>2490</v>
      </c>
      <c r="J1534" s="2">
        <v>1698</v>
      </c>
      <c r="K1534" s="2">
        <v>792</v>
      </c>
      <c r="L1534" s="2">
        <v>31.81</v>
      </c>
      <c r="M1534" s="2">
        <v>2490</v>
      </c>
      <c r="N1534" s="2">
        <v>1698</v>
      </c>
      <c r="O1534" s="2">
        <v>728</v>
      </c>
      <c r="P1534" s="2">
        <v>31.81</v>
      </c>
    </row>
    <row r="1535" spans="1:16" x14ac:dyDescent="0.25">
      <c r="A1535" t="s">
        <v>15</v>
      </c>
      <c r="B1535" t="s">
        <v>1839</v>
      </c>
      <c r="C1535" t="s">
        <v>252</v>
      </c>
      <c r="D1535" t="s">
        <v>1943</v>
      </c>
      <c r="E1535" t="s">
        <v>47</v>
      </c>
      <c r="F1535" t="s">
        <v>587</v>
      </c>
      <c r="G1535" s="1">
        <f>45901</f>
        <v>45901</v>
      </c>
      <c r="H1535" t="s">
        <v>2422</v>
      </c>
      <c r="I1535" s="2">
        <v>14036.7</v>
      </c>
      <c r="J1535" s="2">
        <v>10226.5</v>
      </c>
      <c r="K1535" s="2">
        <v>3810.2</v>
      </c>
      <c r="L1535" s="2">
        <v>27.14</v>
      </c>
      <c r="M1535" s="2">
        <v>14036.7</v>
      </c>
      <c r="N1535" s="2">
        <v>10226.5</v>
      </c>
      <c r="O1535" s="2">
        <v>3764.2</v>
      </c>
      <c r="P1535" s="2">
        <v>27.14</v>
      </c>
    </row>
    <row r="1536" spans="1:16" x14ac:dyDescent="0.25">
      <c r="A1536" t="s">
        <v>15</v>
      </c>
      <c r="B1536" t="s">
        <v>1839</v>
      </c>
      <c r="C1536" t="s">
        <v>252</v>
      </c>
      <c r="D1536" t="s">
        <v>1944</v>
      </c>
      <c r="E1536" t="s">
        <v>47</v>
      </c>
      <c r="F1536" t="s">
        <v>1945</v>
      </c>
      <c r="G1536" s="1">
        <f>45902</f>
        <v>45902</v>
      </c>
      <c r="H1536" t="s">
        <v>2422</v>
      </c>
      <c r="I1536" s="2">
        <v>343</v>
      </c>
      <c r="J1536" s="2">
        <v>233.38</v>
      </c>
      <c r="K1536" s="2">
        <v>109.62</v>
      </c>
      <c r="L1536" s="2">
        <v>31.96</v>
      </c>
      <c r="M1536" s="2">
        <v>343</v>
      </c>
      <c r="N1536" s="2">
        <v>233.33</v>
      </c>
      <c r="O1536" s="2">
        <v>96.4</v>
      </c>
      <c r="P1536" s="2">
        <v>31.97</v>
      </c>
    </row>
    <row r="1537" spans="1:16" x14ac:dyDescent="0.25">
      <c r="A1537" t="s">
        <v>15</v>
      </c>
      <c r="B1537" t="s">
        <v>1839</v>
      </c>
      <c r="C1537" t="s">
        <v>252</v>
      </c>
      <c r="D1537" t="s">
        <v>1946</v>
      </c>
      <c r="E1537" t="s">
        <v>47</v>
      </c>
      <c r="F1537" t="s">
        <v>1252</v>
      </c>
      <c r="G1537" s="1">
        <f>45902</f>
        <v>45902</v>
      </c>
      <c r="H1537" t="s">
        <v>2422</v>
      </c>
      <c r="I1537" s="2">
        <v>1137.2</v>
      </c>
      <c r="J1537" s="2">
        <v>765.94</v>
      </c>
      <c r="K1537" s="2">
        <v>371.26</v>
      </c>
      <c r="L1537" s="2">
        <v>32.65</v>
      </c>
      <c r="M1537" s="2">
        <v>1137.2</v>
      </c>
      <c r="N1537" s="2">
        <v>765.94</v>
      </c>
      <c r="O1537" s="2">
        <v>346.44</v>
      </c>
      <c r="P1537" s="2">
        <v>32.65</v>
      </c>
    </row>
    <row r="1538" spans="1:16" x14ac:dyDescent="0.25">
      <c r="A1538" t="s">
        <v>15</v>
      </c>
      <c r="B1538" t="s">
        <v>1839</v>
      </c>
      <c r="C1538" t="s">
        <v>252</v>
      </c>
      <c r="D1538" t="s">
        <v>1947</v>
      </c>
      <c r="E1538" t="s">
        <v>47</v>
      </c>
      <c r="F1538" t="s">
        <v>1236</v>
      </c>
      <c r="G1538" s="1">
        <f>45902</f>
        <v>45902</v>
      </c>
      <c r="H1538" t="s">
        <v>2422</v>
      </c>
      <c r="I1538" s="2">
        <v>150</v>
      </c>
      <c r="J1538" s="2">
        <v>21.48</v>
      </c>
      <c r="K1538" s="2">
        <v>128.52000000000001</v>
      </c>
      <c r="L1538" s="2">
        <v>85.68</v>
      </c>
      <c r="M1538" s="2">
        <v>150</v>
      </c>
      <c r="N1538" s="2">
        <v>21.48</v>
      </c>
      <c r="O1538" s="2">
        <v>119.28</v>
      </c>
      <c r="P1538" s="2">
        <v>85.68</v>
      </c>
    </row>
    <row r="1539" spans="1:16" x14ac:dyDescent="0.25">
      <c r="A1539" t="s">
        <v>15</v>
      </c>
      <c r="B1539" t="s">
        <v>1839</v>
      </c>
      <c r="C1539" t="s">
        <v>252</v>
      </c>
      <c r="D1539" t="s">
        <v>1948</v>
      </c>
      <c r="E1539" t="s">
        <v>47</v>
      </c>
      <c r="F1539" t="s">
        <v>286</v>
      </c>
      <c r="G1539" s="1">
        <f>45905</f>
        <v>45905</v>
      </c>
      <c r="H1539" t="s">
        <v>2422</v>
      </c>
      <c r="I1539" s="2">
        <v>1093.2</v>
      </c>
      <c r="J1539" s="2">
        <v>731.6</v>
      </c>
      <c r="K1539" s="2">
        <v>361.6</v>
      </c>
      <c r="L1539" s="2">
        <v>33.08</v>
      </c>
      <c r="M1539" s="2">
        <v>1093.2</v>
      </c>
      <c r="N1539" s="2">
        <v>731.59</v>
      </c>
      <c r="O1539" s="2">
        <v>349.61</v>
      </c>
      <c r="P1539" s="2">
        <v>33.08</v>
      </c>
    </row>
    <row r="1540" spans="1:16" x14ac:dyDescent="0.25">
      <c r="A1540" t="s">
        <v>15</v>
      </c>
      <c r="B1540" t="s">
        <v>1839</v>
      </c>
      <c r="C1540" t="s">
        <v>252</v>
      </c>
      <c r="D1540" t="s">
        <v>1949</v>
      </c>
      <c r="E1540" t="s">
        <v>47</v>
      </c>
      <c r="F1540" t="s">
        <v>286</v>
      </c>
      <c r="G1540" s="1">
        <f>45905</f>
        <v>45905</v>
      </c>
      <c r="H1540" t="s">
        <v>2422</v>
      </c>
      <c r="I1540" s="2">
        <v>711.2</v>
      </c>
      <c r="J1540" s="2">
        <v>504</v>
      </c>
      <c r="K1540" s="2">
        <v>207.2</v>
      </c>
      <c r="L1540" s="2">
        <v>29.13</v>
      </c>
      <c r="M1540" s="2">
        <v>711.2</v>
      </c>
      <c r="N1540" s="2">
        <v>504</v>
      </c>
      <c r="O1540" s="2">
        <v>162.19999999999999</v>
      </c>
      <c r="P1540" s="2">
        <v>29.13</v>
      </c>
    </row>
    <row r="1541" spans="1:16" x14ac:dyDescent="0.25">
      <c r="A1541" t="s">
        <v>15</v>
      </c>
      <c r="B1541" t="s">
        <v>1839</v>
      </c>
      <c r="C1541" t="s">
        <v>252</v>
      </c>
      <c r="D1541" t="s">
        <v>1950</v>
      </c>
      <c r="E1541" t="s">
        <v>47</v>
      </c>
      <c r="F1541" t="s">
        <v>276</v>
      </c>
      <c r="G1541" s="1">
        <f>45908</f>
        <v>45908</v>
      </c>
      <c r="H1541" t="s">
        <v>2422</v>
      </c>
      <c r="I1541" s="2">
        <v>343.6</v>
      </c>
      <c r="J1541" s="2">
        <v>215.01</v>
      </c>
      <c r="K1541" s="2">
        <v>128.59</v>
      </c>
      <c r="L1541" s="2">
        <v>37.42</v>
      </c>
      <c r="M1541" s="2">
        <v>343.6</v>
      </c>
      <c r="N1541" s="2">
        <v>215.01</v>
      </c>
      <c r="O1541" s="2">
        <v>79.59</v>
      </c>
      <c r="P1541" s="2">
        <v>37.42</v>
      </c>
    </row>
    <row r="1542" spans="1:16" x14ac:dyDescent="0.25">
      <c r="A1542" t="s">
        <v>15</v>
      </c>
      <c r="B1542" t="s">
        <v>1839</v>
      </c>
      <c r="C1542" t="s">
        <v>252</v>
      </c>
      <c r="D1542" t="s">
        <v>1951</v>
      </c>
      <c r="E1542" t="s">
        <v>47</v>
      </c>
      <c r="F1542" t="s">
        <v>272</v>
      </c>
      <c r="G1542" s="1">
        <f>45908</f>
        <v>45908</v>
      </c>
      <c r="H1542" t="s">
        <v>2422</v>
      </c>
      <c r="I1542" s="2">
        <v>522.1</v>
      </c>
      <c r="J1542" s="2">
        <v>372.19</v>
      </c>
      <c r="K1542" s="2">
        <v>149.91</v>
      </c>
      <c r="L1542" s="2">
        <v>28.71</v>
      </c>
      <c r="M1542" s="2">
        <v>522.1</v>
      </c>
      <c r="N1542" s="2">
        <v>372.19</v>
      </c>
      <c r="O1542" s="2">
        <v>149.91</v>
      </c>
      <c r="P1542" s="2">
        <v>28.71</v>
      </c>
    </row>
    <row r="1543" spans="1:16" x14ac:dyDescent="0.25">
      <c r="A1543" t="s">
        <v>15</v>
      </c>
      <c r="B1543" t="s">
        <v>1839</v>
      </c>
      <c r="C1543" t="s">
        <v>252</v>
      </c>
      <c r="D1543" t="s">
        <v>1952</v>
      </c>
      <c r="E1543" t="s">
        <v>47</v>
      </c>
      <c r="F1543" t="s">
        <v>572</v>
      </c>
      <c r="G1543" s="1">
        <f>45909</f>
        <v>45909</v>
      </c>
      <c r="H1543" t="s">
        <v>2422</v>
      </c>
      <c r="I1543" s="2">
        <v>454.4</v>
      </c>
      <c r="J1543" s="2">
        <v>292</v>
      </c>
      <c r="K1543" s="2">
        <v>162.4</v>
      </c>
      <c r="L1543" s="2">
        <v>35.74</v>
      </c>
      <c r="M1543" s="2">
        <v>454.4</v>
      </c>
      <c r="N1543" s="2">
        <v>292</v>
      </c>
      <c r="O1543" s="2">
        <v>112.4</v>
      </c>
      <c r="P1543" s="2">
        <v>35.74</v>
      </c>
    </row>
    <row r="1544" spans="1:16" x14ac:dyDescent="0.25">
      <c r="A1544" t="s">
        <v>15</v>
      </c>
      <c r="B1544" t="s">
        <v>1839</v>
      </c>
      <c r="C1544" t="s">
        <v>252</v>
      </c>
      <c r="D1544" t="s">
        <v>1953</v>
      </c>
      <c r="E1544" t="s">
        <v>47</v>
      </c>
      <c r="F1544" t="s">
        <v>276</v>
      </c>
      <c r="G1544" s="1">
        <f>45909</f>
        <v>45909</v>
      </c>
      <c r="H1544" t="s">
        <v>2422</v>
      </c>
      <c r="I1544" s="2">
        <v>1374.9</v>
      </c>
      <c r="J1544" s="2">
        <v>889</v>
      </c>
      <c r="K1544" s="2">
        <v>485.9</v>
      </c>
      <c r="L1544" s="2">
        <v>35.340000000000003</v>
      </c>
      <c r="M1544" s="2">
        <v>1374.9</v>
      </c>
      <c r="N1544" s="2">
        <v>889</v>
      </c>
      <c r="O1544" s="2">
        <v>476.9</v>
      </c>
      <c r="P1544" s="2">
        <v>35.340000000000003</v>
      </c>
    </row>
    <row r="1545" spans="1:16" x14ac:dyDescent="0.25">
      <c r="A1545" t="s">
        <v>15</v>
      </c>
      <c r="B1545" t="s">
        <v>1839</v>
      </c>
      <c r="C1545" t="s">
        <v>252</v>
      </c>
      <c r="D1545" t="s">
        <v>1954</v>
      </c>
      <c r="E1545" t="s">
        <v>47</v>
      </c>
      <c r="F1545" t="s">
        <v>279</v>
      </c>
      <c r="G1545" s="1">
        <f>45911</f>
        <v>45911</v>
      </c>
      <c r="H1545" t="s">
        <v>2422</v>
      </c>
      <c r="I1545" s="2">
        <v>3797.7</v>
      </c>
      <c r="J1545" s="2">
        <v>2566.56</v>
      </c>
      <c r="K1545" s="2">
        <v>1231.1400000000001</v>
      </c>
      <c r="L1545" s="2">
        <v>32.42</v>
      </c>
      <c r="M1545" s="2">
        <v>3797.7</v>
      </c>
      <c r="N1545" s="2">
        <v>2566.56</v>
      </c>
      <c r="O1545" s="2">
        <v>1145.93</v>
      </c>
      <c r="P1545" s="2">
        <v>32.42</v>
      </c>
    </row>
    <row r="1546" spans="1:16" x14ac:dyDescent="0.25">
      <c r="A1546" t="s">
        <v>15</v>
      </c>
      <c r="B1546" t="s">
        <v>1839</v>
      </c>
      <c r="C1546" t="s">
        <v>252</v>
      </c>
      <c r="D1546" t="s">
        <v>1955</v>
      </c>
      <c r="E1546" t="s">
        <v>47</v>
      </c>
      <c r="F1546" t="s">
        <v>279</v>
      </c>
      <c r="G1546" s="1">
        <f>45911</f>
        <v>45911</v>
      </c>
      <c r="H1546" t="s">
        <v>2422</v>
      </c>
      <c r="I1546" s="2">
        <v>180.04</v>
      </c>
      <c r="J1546" s="2">
        <v>119.58</v>
      </c>
      <c r="K1546" s="2">
        <v>60.46</v>
      </c>
      <c r="L1546" s="2">
        <v>33.58</v>
      </c>
      <c r="M1546" s="2">
        <v>180.04</v>
      </c>
      <c r="N1546" s="2">
        <v>118.47</v>
      </c>
      <c r="O1546" s="2">
        <v>50.4</v>
      </c>
      <c r="P1546" s="2">
        <v>34.200000000000003</v>
      </c>
    </row>
    <row r="1547" spans="1:16" x14ac:dyDescent="0.25">
      <c r="A1547" t="s">
        <v>15</v>
      </c>
      <c r="B1547" t="s">
        <v>1839</v>
      </c>
      <c r="C1547" t="s">
        <v>252</v>
      </c>
      <c r="D1547" t="s">
        <v>1956</v>
      </c>
      <c r="E1547" t="s">
        <v>47</v>
      </c>
      <c r="F1547" t="s">
        <v>1957</v>
      </c>
      <c r="G1547" s="1">
        <f>45912</f>
        <v>45912</v>
      </c>
      <c r="H1547" t="s">
        <v>2422</v>
      </c>
      <c r="I1547" s="2">
        <v>539.20000000000005</v>
      </c>
      <c r="J1547" s="2">
        <v>354.41</v>
      </c>
      <c r="K1547" s="2">
        <v>184.79</v>
      </c>
      <c r="L1547" s="2">
        <v>34.270000000000003</v>
      </c>
      <c r="M1547" s="2">
        <v>539.20000000000005</v>
      </c>
      <c r="N1547" s="2">
        <v>354.41</v>
      </c>
      <c r="O1547" s="2">
        <v>172.71</v>
      </c>
      <c r="P1547" s="2">
        <v>34.270000000000003</v>
      </c>
    </row>
    <row r="1548" spans="1:16" x14ac:dyDescent="0.25">
      <c r="A1548" t="s">
        <v>15</v>
      </c>
      <c r="B1548" t="s">
        <v>1839</v>
      </c>
      <c r="C1548" t="s">
        <v>252</v>
      </c>
      <c r="D1548" t="s">
        <v>1958</v>
      </c>
      <c r="E1548" t="s">
        <v>47</v>
      </c>
      <c r="F1548" t="s">
        <v>1423</v>
      </c>
      <c r="G1548" s="1">
        <f>45915</f>
        <v>45915</v>
      </c>
      <c r="H1548" t="s">
        <v>2422</v>
      </c>
      <c r="I1548" s="2">
        <v>130</v>
      </c>
      <c r="J1548" s="2">
        <v>91</v>
      </c>
      <c r="K1548" s="2">
        <v>39</v>
      </c>
      <c r="L1548" s="2">
        <v>30</v>
      </c>
      <c r="M1548" s="2">
        <v>130</v>
      </c>
      <c r="N1548" s="2">
        <v>91</v>
      </c>
      <c r="O1548" s="2">
        <v>39</v>
      </c>
      <c r="P1548" s="2">
        <v>30</v>
      </c>
    </row>
    <row r="1549" spans="1:16" x14ac:dyDescent="0.25">
      <c r="A1549" t="s">
        <v>15</v>
      </c>
      <c r="B1549" t="s">
        <v>1839</v>
      </c>
      <c r="C1549" t="s">
        <v>252</v>
      </c>
      <c r="D1549" t="s">
        <v>1959</v>
      </c>
      <c r="E1549" t="s">
        <v>47</v>
      </c>
      <c r="F1549" t="s">
        <v>279</v>
      </c>
      <c r="G1549" s="1">
        <f>45915</f>
        <v>45915</v>
      </c>
      <c r="H1549" t="s">
        <v>2422</v>
      </c>
      <c r="I1549" s="2">
        <v>1764.4</v>
      </c>
      <c r="J1549" s="2">
        <v>1167.5999999999999</v>
      </c>
      <c r="K1549" s="2">
        <v>596.79999999999995</v>
      </c>
      <c r="L1549" s="2">
        <v>33.82</v>
      </c>
      <c r="M1549" s="2">
        <v>1764.4</v>
      </c>
      <c r="N1549" s="2">
        <v>1167.5999999999999</v>
      </c>
      <c r="O1549" s="2">
        <v>546.79999999999995</v>
      </c>
      <c r="P1549" s="2">
        <v>33.82</v>
      </c>
    </row>
    <row r="1550" spans="1:16" x14ac:dyDescent="0.25">
      <c r="A1550" t="s">
        <v>15</v>
      </c>
      <c r="B1550" t="s">
        <v>1839</v>
      </c>
      <c r="C1550" t="s">
        <v>252</v>
      </c>
      <c r="D1550" t="s">
        <v>1960</v>
      </c>
      <c r="E1550" t="s">
        <v>47</v>
      </c>
      <c r="F1550" t="s">
        <v>292</v>
      </c>
      <c r="G1550" s="1">
        <f>45915</f>
        <v>45915</v>
      </c>
      <c r="H1550" t="s">
        <v>2422</v>
      </c>
      <c r="I1550" s="2">
        <v>209</v>
      </c>
      <c r="J1550" s="2">
        <v>130.4</v>
      </c>
      <c r="K1550" s="2">
        <v>78.599999999999994</v>
      </c>
      <c r="L1550" s="2">
        <v>37.61</v>
      </c>
      <c r="M1550" s="2">
        <v>209</v>
      </c>
      <c r="N1550" s="2">
        <v>130.4</v>
      </c>
      <c r="O1550" s="2">
        <v>52.6</v>
      </c>
      <c r="P1550" s="2">
        <v>37.61</v>
      </c>
    </row>
    <row r="1551" spans="1:16" x14ac:dyDescent="0.25">
      <c r="A1551" t="s">
        <v>15</v>
      </c>
      <c r="B1551" t="s">
        <v>1839</v>
      </c>
      <c r="C1551" t="s">
        <v>252</v>
      </c>
      <c r="D1551" t="s">
        <v>1961</v>
      </c>
      <c r="E1551" t="s">
        <v>47</v>
      </c>
      <c r="F1551" t="s">
        <v>1236</v>
      </c>
      <c r="G1551" s="1">
        <f>45917</f>
        <v>45917</v>
      </c>
      <c r="H1551" t="s">
        <v>2422</v>
      </c>
      <c r="I1551" s="2">
        <v>150</v>
      </c>
      <c r="J1551" s="2">
        <v>93.5</v>
      </c>
      <c r="K1551" s="2">
        <v>56.51</v>
      </c>
      <c r="L1551" s="2">
        <v>37.67</v>
      </c>
      <c r="M1551" s="2">
        <v>150</v>
      </c>
      <c r="N1551" s="2">
        <v>93.5</v>
      </c>
      <c r="O1551" s="2">
        <v>45.84</v>
      </c>
      <c r="P1551" s="2">
        <v>37.67</v>
      </c>
    </row>
    <row r="1552" spans="1:16" x14ac:dyDescent="0.25">
      <c r="A1552" t="s">
        <v>15</v>
      </c>
      <c r="B1552" t="s">
        <v>1839</v>
      </c>
      <c r="C1552" t="s">
        <v>252</v>
      </c>
      <c r="D1552" t="s">
        <v>1962</v>
      </c>
      <c r="E1552" t="s">
        <v>47</v>
      </c>
      <c r="F1552" t="s">
        <v>1236</v>
      </c>
      <c r="G1552" s="1">
        <f>45918</f>
        <v>45918</v>
      </c>
      <c r="H1552" t="s">
        <v>2422</v>
      </c>
      <c r="I1552" s="2">
        <v>350.32</v>
      </c>
      <c r="J1552" s="2">
        <v>238.61</v>
      </c>
      <c r="K1552" s="2">
        <v>111.71</v>
      </c>
      <c r="L1552" s="2">
        <v>31.89</v>
      </c>
      <c r="M1552" s="2">
        <v>350.32</v>
      </c>
      <c r="N1552" s="2">
        <v>234.03</v>
      </c>
      <c r="O1552" s="2">
        <v>107.29</v>
      </c>
      <c r="P1552" s="2">
        <v>33.200000000000003</v>
      </c>
    </row>
    <row r="1553" spans="1:16" x14ac:dyDescent="0.25">
      <c r="A1553" t="s">
        <v>15</v>
      </c>
      <c r="B1553" t="s">
        <v>1839</v>
      </c>
      <c r="C1553" t="s">
        <v>252</v>
      </c>
      <c r="D1553" t="s">
        <v>1963</v>
      </c>
      <c r="E1553" t="s">
        <v>47</v>
      </c>
      <c r="F1553" t="s">
        <v>581</v>
      </c>
      <c r="G1553" s="1">
        <f>45924</f>
        <v>45924</v>
      </c>
      <c r="H1553" t="s">
        <v>2422</v>
      </c>
      <c r="I1553" s="2">
        <v>1871</v>
      </c>
      <c r="J1553" s="2">
        <v>1272.71</v>
      </c>
      <c r="K1553" s="2">
        <v>598.29</v>
      </c>
      <c r="L1553" s="2">
        <v>31.98</v>
      </c>
      <c r="M1553" s="2">
        <v>1871</v>
      </c>
      <c r="N1553" s="2">
        <v>1272.71</v>
      </c>
      <c r="O1553" s="2">
        <v>543.29</v>
      </c>
      <c r="P1553" s="2">
        <v>31.98</v>
      </c>
    </row>
    <row r="1554" spans="1:16" x14ac:dyDescent="0.25">
      <c r="A1554" t="s">
        <v>15</v>
      </c>
      <c r="B1554" t="s">
        <v>1839</v>
      </c>
      <c r="C1554" t="s">
        <v>252</v>
      </c>
      <c r="D1554" t="s">
        <v>1964</v>
      </c>
      <c r="E1554" t="s">
        <v>47</v>
      </c>
      <c r="F1554" t="s">
        <v>260</v>
      </c>
      <c r="G1554" s="1">
        <f>45925</f>
        <v>45925</v>
      </c>
      <c r="H1554" t="s">
        <v>2422</v>
      </c>
      <c r="I1554" s="2">
        <v>5375</v>
      </c>
      <c r="J1554" s="2">
        <v>3076</v>
      </c>
      <c r="K1554" s="2">
        <v>2299</v>
      </c>
      <c r="L1554" s="2">
        <v>42.77</v>
      </c>
      <c r="M1554" s="2">
        <v>5375</v>
      </c>
      <c r="N1554" s="2">
        <v>3076</v>
      </c>
      <c r="O1554" s="2">
        <v>2158</v>
      </c>
      <c r="P1554" s="2">
        <v>42.77</v>
      </c>
    </row>
    <row r="1555" spans="1:16" x14ac:dyDescent="0.25">
      <c r="A1555" t="s">
        <v>15</v>
      </c>
      <c r="B1555" t="s">
        <v>1839</v>
      </c>
      <c r="C1555" t="s">
        <v>252</v>
      </c>
      <c r="D1555" t="s">
        <v>1965</v>
      </c>
      <c r="E1555" t="s">
        <v>47</v>
      </c>
      <c r="F1555" t="s">
        <v>254</v>
      </c>
      <c r="G1555" s="1">
        <f>45925</f>
        <v>45925</v>
      </c>
      <c r="H1555" t="s">
        <v>2422</v>
      </c>
      <c r="I1555" s="2">
        <v>794</v>
      </c>
      <c r="J1555" s="2">
        <v>534</v>
      </c>
      <c r="K1555" s="2">
        <v>260</v>
      </c>
      <c r="L1555" s="2">
        <v>32.75</v>
      </c>
      <c r="M1555" s="2">
        <v>794</v>
      </c>
      <c r="N1555" s="2">
        <v>534</v>
      </c>
      <c r="O1555" s="2">
        <v>216</v>
      </c>
      <c r="P1555" s="2">
        <v>32.75</v>
      </c>
    </row>
    <row r="1556" spans="1:16" x14ac:dyDescent="0.25">
      <c r="A1556" t="s">
        <v>15</v>
      </c>
      <c r="B1556" t="s">
        <v>1839</v>
      </c>
      <c r="C1556" t="s">
        <v>252</v>
      </c>
      <c r="D1556" t="s">
        <v>1966</v>
      </c>
      <c r="E1556" t="s">
        <v>47</v>
      </c>
      <c r="F1556" t="s">
        <v>272</v>
      </c>
      <c r="G1556" s="1">
        <f>45925</f>
        <v>45925</v>
      </c>
      <c r="H1556" t="s">
        <v>2422</v>
      </c>
      <c r="I1556" s="2">
        <v>391.6</v>
      </c>
      <c r="J1556" s="2">
        <v>279.16000000000003</v>
      </c>
      <c r="K1556" s="2">
        <v>112.44</v>
      </c>
      <c r="L1556" s="2">
        <v>28.71</v>
      </c>
      <c r="M1556" s="2">
        <v>391.6</v>
      </c>
      <c r="N1556" s="2">
        <v>279.16000000000003</v>
      </c>
      <c r="O1556" s="2">
        <v>112.44</v>
      </c>
      <c r="P1556" s="2">
        <v>28.71</v>
      </c>
    </row>
    <row r="1557" spans="1:16" x14ac:dyDescent="0.25">
      <c r="A1557" t="s">
        <v>15</v>
      </c>
      <c r="B1557" t="s">
        <v>1839</v>
      </c>
      <c r="C1557" t="s">
        <v>252</v>
      </c>
      <c r="D1557" t="s">
        <v>1967</v>
      </c>
      <c r="E1557" t="s">
        <v>47</v>
      </c>
      <c r="F1557" t="s">
        <v>256</v>
      </c>
      <c r="G1557" s="1">
        <f>45925</f>
        <v>45925</v>
      </c>
      <c r="H1557" t="s">
        <v>2422</v>
      </c>
      <c r="I1557" s="2">
        <v>1192</v>
      </c>
      <c r="J1557" s="2">
        <v>770.96</v>
      </c>
      <c r="K1557" s="2">
        <v>421.04</v>
      </c>
      <c r="L1557" s="2">
        <v>35.32</v>
      </c>
      <c r="M1557" s="2">
        <v>1192</v>
      </c>
      <c r="N1557" s="2">
        <v>770.96</v>
      </c>
      <c r="O1557" s="2">
        <v>414.16</v>
      </c>
      <c r="P1557" s="2">
        <v>35.32</v>
      </c>
    </row>
    <row r="1558" spans="1:16" x14ac:dyDescent="0.25">
      <c r="A1558" t="s">
        <v>15</v>
      </c>
      <c r="B1558" t="s">
        <v>1839</v>
      </c>
      <c r="C1558" t="s">
        <v>252</v>
      </c>
      <c r="D1558" t="s">
        <v>1968</v>
      </c>
      <c r="E1558" t="s">
        <v>47</v>
      </c>
      <c r="F1558" t="s">
        <v>279</v>
      </c>
      <c r="G1558" s="1">
        <f>45929</f>
        <v>45929</v>
      </c>
      <c r="H1558" t="s">
        <v>2422</v>
      </c>
      <c r="I1558" s="2">
        <v>1258</v>
      </c>
      <c r="J1558" s="2">
        <v>936.9</v>
      </c>
      <c r="K1558" s="2">
        <v>321.10000000000002</v>
      </c>
      <c r="L1558" s="2">
        <v>25.52</v>
      </c>
      <c r="M1558" s="2">
        <v>1258</v>
      </c>
      <c r="N1558" s="2">
        <v>936.9</v>
      </c>
      <c r="O1558" s="2">
        <v>271.10000000000002</v>
      </c>
      <c r="P1558" s="2">
        <v>25.52</v>
      </c>
    </row>
    <row r="1559" spans="1:16" x14ac:dyDescent="0.25">
      <c r="A1559" t="s">
        <v>15</v>
      </c>
      <c r="B1559" t="s">
        <v>1839</v>
      </c>
      <c r="C1559" t="s">
        <v>252</v>
      </c>
      <c r="D1559" t="s">
        <v>1969</v>
      </c>
      <c r="E1559" t="s">
        <v>47</v>
      </c>
      <c r="F1559" t="s">
        <v>295</v>
      </c>
      <c r="G1559" s="1">
        <f>45929</f>
        <v>45929</v>
      </c>
      <c r="H1559" t="s">
        <v>2422</v>
      </c>
      <c r="I1559" s="2">
        <v>14763.2</v>
      </c>
      <c r="J1559" s="2">
        <v>9257</v>
      </c>
      <c r="K1559" s="2">
        <v>5506.2</v>
      </c>
      <c r="L1559" s="2">
        <v>37.299999999999997</v>
      </c>
      <c r="M1559" s="2">
        <v>10959.9</v>
      </c>
      <c r="N1559" s="2">
        <v>6914</v>
      </c>
      <c r="O1559" s="2">
        <v>3995.9</v>
      </c>
      <c r="P1559" s="2">
        <v>36.92</v>
      </c>
    </row>
    <row r="1560" spans="1:16" x14ac:dyDescent="0.25">
      <c r="A1560" t="s">
        <v>15</v>
      </c>
      <c r="B1560" t="s">
        <v>1839</v>
      </c>
      <c r="C1560" t="s">
        <v>252</v>
      </c>
      <c r="D1560" t="s">
        <v>1970</v>
      </c>
      <c r="E1560" t="s">
        <v>47</v>
      </c>
      <c r="F1560" t="s">
        <v>269</v>
      </c>
      <c r="G1560" s="1">
        <f>45930</f>
        <v>45930</v>
      </c>
      <c r="H1560" t="s">
        <v>2422</v>
      </c>
      <c r="I1560" s="2">
        <v>638</v>
      </c>
      <c r="J1560" s="2">
        <v>430.92</v>
      </c>
      <c r="K1560" s="2">
        <v>207.08</v>
      </c>
      <c r="L1560" s="2">
        <v>32.46</v>
      </c>
      <c r="M1560" s="2">
        <v>638</v>
      </c>
      <c r="N1560" s="2">
        <v>430.94</v>
      </c>
      <c r="O1560" s="2">
        <v>176.34</v>
      </c>
      <c r="P1560" s="2">
        <v>32.450000000000003</v>
      </c>
    </row>
    <row r="1561" spans="1:16" x14ac:dyDescent="0.25">
      <c r="A1561" t="s">
        <v>15</v>
      </c>
      <c r="B1561" t="s">
        <v>1839</v>
      </c>
      <c r="C1561" t="s">
        <v>252</v>
      </c>
      <c r="D1561" t="s">
        <v>1971</v>
      </c>
      <c r="E1561" t="s">
        <v>47</v>
      </c>
      <c r="F1561" t="s">
        <v>579</v>
      </c>
      <c r="G1561" s="1">
        <f>45930</f>
        <v>45930</v>
      </c>
      <c r="H1561" t="s">
        <v>2422</v>
      </c>
      <c r="I1561" s="2">
        <v>4616.6000000000004</v>
      </c>
      <c r="J1561" s="2">
        <v>3174.26</v>
      </c>
      <c r="K1561" s="2">
        <v>1442.34</v>
      </c>
      <c r="L1561" s="2">
        <v>31.24</v>
      </c>
      <c r="M1561" s="2">
        <v>4616.6000000000004</v>
      </c>
      <c r="N1561" s="2">
        <v>2912.24</v>
      </c>
      <c r="O1561" s="2">
        <v>1574.36</v>
      </c>
      <c r="P1561" s="2">
        <v>36.92</v>
      </c>
    </row>
    <row r="1562" spans="1:16" x14ac:dyDescent="0.25">
      <c r="A1562" t="s">
        <v>15</v>
      </c>
      <c r="B1562" t="s">
        <v>1839</v>
      </c>
      <c r="C1562" t="s">
        <v>252</v>
      </c>
      <c r="D1562" t="s">
        <v>1972</v>
      </c>
      <c r="E1562" t="s">
        <v>47</v>
      </c>
      <c r="F1562" t="s">
        <v>279</v>
      </c>
      <c r="G1562" s="1">
        <f>45909</f>
        <v>45909</v>
      </c>
      <c r="H1562" t="s">
        <v>2422</v>
      </c>
      <c r="I1562" s="2">
        <v>1953</v>
      </c>
      <c r="J1562" s="2">
        <v>988.72</v>
      </c>
      <c r="K1562" s="2">
        <v>964.28</v>
      </c>
      <c r="L1562" s="2">
        <v>49.37</v>
      </c>
      <c r="M1562" s="2">
        <v>1953</v>
      </c>
      <c r="N1562" s="2">
        <v>1663.95</v>
      </c>
      <c r="O1562" s="2">
        <v>206.45</v>
      </c>
      <c r="P1562" s="2">
        <v>14.8</v>
      </c>
    </row>
    <row r="1563" spans="1:16" x14ac:dyDescent="0.25">
      <c r="A1563" t="s">
        <v>15</v>
      </c>
      <c r="B1563" t="s">
        <v>1839</v>
      </c>
      <c r="C1563" t="s">
        <v>252</v>
      </c>
      <c r="D1563" t="s">
        <v>1973</v>
      </c>
      <c r="E1563" t="s">
        <v>47</v>
      </c>
      <c r="F1563" t="s">
        <v>265</v>
      </c>
      <c r="G1563" s="1">
        <f>45925</f>
        <v>45925</v>
      </c>
      <c r="H1563" t="s">
        <v>2422</v>
      </c>
      <c r="I1563" s="2">
        <v>9458</v>
      </c>
      <c r="J1563" s="2">
        <v>6474.6</v>
      </c>
      <c r="K1563" s="2">
        <v>2983.4</v>
      </c>
      <c r="L1563" s="2">
        <v>31.54</v>
      </c>
      <c r="M1563" s="2">
        <v>9458</v>
      </c>
      <c r="N1563" s="2">
        <v>6522.6</v>
      </c>
      <c r="O1563" s="2">
        <v>2896.4</v>
      </c>
      <c r="P1563" s="2">
        <v>31.04</v>
      </c>
    </row>
    <row r="1564" spans="1:16" x14ac:dyDescent="0.25">
      <c r="A1564" t="s">
        <v>15</v>
      </c>
      <c r="B1564" t="s">
        <v>1839</v>
      </c>
      <c r="C1564" t="s">
        <v>17</v>
      </c>
      <c r="D1564" t="s">
        <v>1974</v>
      </c>
      <c r="E1564" t="s">
        <v>47</v>
      </c>
      <c r="F1564" t="s">
        <v>339</v>
      </c>
      <c r="G1564" s="1">
        <f>45901</f>
        <v>45901</v>
      </c>
      <c r="H1564" t="s">
        <v>2422</v>
      </c>
      <c r="I1564" s="2">
        <v>354.72</v>
      </c>
      <c r="J1564" s="2">
        <v>139.52000000000001</v>
      </c>
      <c r="K1564" s="2">
        <v>215.2</v>
      </c>
      <c r="L1564" s="2">
        <v>60.67</v>
      </c>
      <c r="M1564" s="2">
        <v>354.72</v>
      </c>
      <c r="N1564" s="2">
        <v>139.52000000000001</v>
      </c>
      <c r="O1564" s="2">
        <v>215.2</v>
      </c>
      <c r="P1564" s="2">
        <v>60.67</v>
      </c>
    </row>
    <row r="1565" spans="1:16" x14ac:dyDescent="0.25">
      <c r="A1565" t="s">
        <v>15</v>
      </c>
      <c r="B1565" t="s">
        <v>1839</v>
      </c>
      <c r="C1565" t="s">
        <v>17</v>
      </c>
      <c r="D1565" t="s">
        <v>1975</v>
      </c>
      <c r="E1565" t="s">
        <v>47</v>
      </c>
      <c r="F1565" t="s">
        <v>1976</v>
      </c>
      <c r="G1565" s="1">
        <f>45902</f>
        <v>45902</v>
      </c>
      <c r="H1565" t="s">
        <v>2422</v>
      </c>
      <c r="I1565" s="2">
        <v>1018.4</v>
      </c>
      <c r="J1565" s="2">
        <v>587.61</v>
      </c>
      <c r="K1565" s="2">
        <v>430.79</v>
      </c>
      <c r="L1565" s="2">
        <v>42.3</v>
      </c>
      <c r="M1565" s="2">
        <v>1018.4</v>
      </c>
      <c r="N1565" s="2">
        <v>587.61</v>
      </c>
      <c r="O1565" s="2">
        <v>380.79</v>
      </c>
      <c r="P1565" s="2">
        <v>42.3</v>
      </c>
    </row>
    <row r="1566" spans="1:16" x14ac:dyDescent="0.25">
      <c r="A1566" t="s">
        <v>15</v>
      </c>
      <c r="B1566" t="s">
        <v>1839</v>
      </c>
      <c r="C1566" t="s">
        <v>17</v>
      </c>
      <c r="D1566" t="s">
        <v>1977</v>
      </c>
      <c r="E1566" t="s">
        <v>47</v>
      </c>
      <c r="F1566" t="s">
        <v>1978</v>
      </c>
      <c r="G1566" s="1">
        <f>45902</f>
        <v>45902</v>
      </c>
      <c r="H1566" t="s">
        <v>2422</v>
      </c>
      <c r="I1566" s="2">
        <v>1576.2</v>
      </c>
      <c r="J1566" s="2">
        <v>1103.7</v>
      </c>
      <c r="K1566" s="2">
        <v>472.5</v>
      </c>
      <c r="L1566" s="2">
        <v>29.98</v>
      </c>
      <c r="M1566" s="2">
        <v>1576.2</v>
      </c>
      <c r="N1566" s="2">
        <v>1103.7</v>
      </c>
      <c r="O1566" s="2">
        <v>430</v>
      </c>
      <c r="P1566" s="2">
        <v>29.98</v>
      </c>
    </row>
    <row r="1567" spans="1:16" x14ac:dyDescent="0.25">
      <c r="A1567" t="s">
        <v>15</v>
      </c>
      <c r="B1567" t="s">
        <v>1839</v>
      </c>
      <c r="C1567" t="s">
        <v>17</v>
      </c>
      <c r="D1567" t="s">
        <v>1979</v>
      </c>
      <c r="E1567" t="s">
        <v>47</v>
      </c>
      <c r="F1567" t="s">
        <v>322</v>
      </c>
      <c r="G1567" s="1">
        <f>45903</f>
        <v>45903</v>
      </c>
      <c r="H1567" t="s">
        <v>2422</v>
      </c>
      <c r="I1567" s="2">
        <v>2607.1999999999998</v>
      </c>
      <c r="J1567" s="2">
        <v>1550.18</v>
      </c>
      <c r="K1567" s="2">
        <v>1057.02</v>
      </c>
      <c r="L1567" s="2">
        <v>40.54</v>
      </c>
      <c r="M1567" s="2">
        <v>2607.1999999999998</v>
      </c>
      <c r="N1567" s="2">
        <v>1550.31</v>
      </c>
      <c r="O1567" s="2">
        <v>981.39</v>
      </c>
      <c r="P1567" s="2">
        <v>40.54</v>
      </c>
    </row>
    <row r="1568" spans="1:16" x14ac:dyDescent="0.25">
      <c r="A1568" t="s">
        <v>15</v>
      </c>
      <c r="B1568" t="s">
        <v>1839</v>
      </c>
      <c r="C1568" t="s">
        <v>17</v>
      </c>
      <c r="D1568" t="s">
        <v>1980</v>
      </c>
      <c r="E1568" t="s">
        <v>47</v>
      </c>
      <c r="F1568" t="s">
        <v>1279</v>
      </c>
      <c r="G1568" s="1">
        <f>45905</f>
        <v>45905</v>
      </c>
      <c r="H1568" t="s">
        <v>2422</v>
      </c>
      <c r="I1568" s="2">
        <v>992.6</v>
      </c>
      <c r="J1568" s="2">
        <v>669</v>
      </c>
      <c r="K1568" s="2">
        <v>323.60000000000002</v>
      </c>
      <c r="L1568" s="2">
        <v>32.6</v>
      </c>
      <c r="M1568" s="2">
        <v>992.6</v>
      </c>
      <c r="N1568" s="2">
        <v>669</v>
      </c>
      <c r="O1568" s="2">
        <v>282.60000000000002</v>
      </c>
      <c r="P1568" s="2">
        <v>32.6</v>
      </c>
    </row>
    <row r="1569" spans="1:16" x14ac:dyDescent="0.25">
      <c r="A1569" t="s">
        <v>15</v>
      </c>
      <c r="B1569" t="s">
        <v>1839</v>
      </c>
      <c r="C1569" t="s">
        <v>17</v>
      </c>
      <c r="D1569" t="s">
        <v>1981</v>
      </c>
      <c r="E1569" t="s">
        <v>19</v>
      </c>
      <c r="F1569" t="s">
        <v>1982</v>
      </c>
      <c r="G1569" s="1">
        <f>45905</f>
        <v>45905</v>
      </c>
      <c r="H1569" t="s">
        <v>1755</v>
      </c>
      <c r="I1569" s="2">
        <v>621.1</v>
      </c>
      <c r="J1569" s="2">
        <v>385.32</v>
      </c>
      <c r="K1569" s="2">
        <v>235.78</v>
      </c>
      <c r="L1569" s="2">
        <v>37.96</v>
      </c>
      <c r="M1569" s="2">
        <v>621.1</v>
      </c>
      <c r="N1569" s="2">
        <v>385.32</v>
      </c>
      <c r="O1569" s="2">
        <v>195.78</v>
      </c>
      <c r="P1569" s="2">
        <v>37.96</v>
      </c>
    </row>
    <row r="1570" spans="1:16" x14ac:dyDescent="0.25">
      <c r="A1570" t="s">
        <v>15</v>
      </c>
      <c r="B1570" t="s">
        <v>1839</v>
      </c>
      <c r="C1570" t="s">
        <v>17</v>
      </c>
      <c r="D1570" t="s">
        <v>1983</v>
      </c>
      <c r="E1570" t="s">
        <v>19</v>
      </c>
      <c r="F1570" t="s">
        <v>39</v>
      </c>
      <c r="G1570" s="1">
        <f>45905</f>
        <v>45905</v>
      </c>
      <c r="H1570" t="s">
        <v>1755</v>
      </c>
      <c r="I1570" s="2">
        <v>762</v>
      </c>
      <c r="J1570" s="2">
        <v>415.96</v>
      </c>
      <c r="K1570" s="2">
        <v>346.04</v>
      </c>
      <c r="L1570" s="2">
        <v>45.41</v>
      </c>
      <c r="M1570" s="2">
        <v>762</v>
      </c>
      <c r="N1570" s="2">
        <v>415.96</v>
      </c>
      <c r="O1570" s="2">
        <v>287.04000000000002</v>
      </c>
      <c r="P1570" s="2">
        <v>45.41</v>
      </c>
    </row>
    <row r="1571" spans="1:16" x14ac:dyDescent="0.25">
      <c r="A1571" t="s">
        <v>15</v>
      </c>
      <c r="B1571" t="s">
        <v>1839</v>
      </c>
      <c r="C1571" t="s">
        <v>17</v>
      </c>
      <c r="D1571" t="s">
        <v>1984</v>
      </c>
      <c r="E1571" t="s">
        <v>19</v>
      </c>
      <c r="F1571" t="s">
        <v>333</v>
      </c>
      <c r="G1571" s="1">
        <f>45908</f>
        <v>45908</v>
      </c>
      <c r="H1571" t="s">
        <v>1755</v>
      </c>
      <c r="I1571" s="2">
        <v>2255.9</v>
      </c>
      <c r="J1571" s="2">
        <v>1527</v>
      </c>
      <c r="K1571" s="2">
        <v>728.9</v>
      </c>
      <c r="L1571" s="2">
        <v>32.31</v>
      </c>
      <c r="M1571" s="2">
        <v>2255.9</v>
      </c>
      <c r="N1571" s="2">
        <v>1527</v>
      </c>
      <c r="O1571" s="2">
        <v>643.9</v>
      </c>
      <c r="P1571" s="2">
        <v>32.31</v>
      </c>
    </row>
    <row r="1572" spans="1:16" x14ac:dyDescent="0.25">
      <c r="A1572" t="s">
        <v>15</v>
      </c>
      <c r="B1572" t="s">
        <v>1839</v>
      </c>
      <c r="C1572" t="s">
        <v>17</v>
      </c>
      <c r="D1572" t="s">
        <v>1985</v>
      </c>
      <c r="E1572" t="s">
        <v>47</v>
      </c>
      <c r="F1572" t="s">
        <v>896</v>
      </c>
      <c r="G1572" s="1">
        <f>45908</f>
        <v>45908</v>
      </c>
      <c r="H1572" t="s">
        <v>2422</v>
      </c>
      <c r="I1572" s="2">
        <v>1216.4000000000001</v>
      </c>
      <c r="J1572" s="2">
        <v>833</v>
      </c>
      <c r="K1572" s="2">
        <v>383.4</v>
      </c>
      <c r="L1572" s="2">
        <v>31.52</v>
      </c>
      <c r="M1572" s="2">
        <v>1216.4000000000001</v>
      </c>
      <c r="N1572" s="2">
        <v>833</v>
      </c>
      <c r="O1572" s="2">
        <v>374.4</v>
      </c>
      <c r="P1572" s="2">
        <v>31.52</v>
      </c>
    </row>
    <row r="1573" spans="1:16" x14ac:dyDescent="0.25">
      <c r="A1573" t="s">
        <v>15</v>
      </c>
      <c r="B1573" t="s">
        <v>1839</v>
      </c>
      <c r="C1573" t="s">
        <v>17</v>
      </c>
      <c r="D1573" t="s">
        <v>1986</v>
      </c>
      <c r="E1573" t="s">
        <v>47</v>
      </c>
      <c r="F1573" t="s">
        <v>896</v>
      </c>
      <c r="G1573" s="1">
        <f>45908</f>
        <v>45908</v>
      </c>
      <c r="H1573" t="s">
        <v>2422</v>
      </c>
      <c r="I1573" s="2">
        <v>610.79999999999995</v>
      </c>
      <c r="J1573" s="2">
        <v>421</v>
      </c>
      <c r="K1573" s="2">
        <v>189.8</v>
      </c>
      <c r="L1573" s="2">
        <v>31.07</v>
      </c>
      <c r="M1573" s="2">
        <v>610.79999999999995</v>
      </c>
      <c r="N1573" s="2">
        <v>421</v>
      </c>
      <c r="O1573" s="2">
        <v>180.8</v>
      </c>
      <c r="P1573" s="2">
        <v>31.07</v>
      </c>
    </row>
    <row r="1574" spans="1:16" x14ac:dyDescent="0.25">
      <c r="A1574" t="s">
        <v>15</v>
      </c>
      <c r="B1574" t="s">
        <v>1839</v>
      </c>
      <c r="C1574" t="s">
        <v>17</v>
      </c>
      <c r="D1574" t="s">
        <v>1987</v>
      </c>
      <c r="E1574" t="s">
        <v>47</v>
      </c>
      <c r="F1574" t="s">
        <v>871</v>
      </c>
      <c r="G1574" s="1">
        <f>45908</f>
        <v>45908</v>
      </c>
      <c r="H1574" t="s">
        <v>2422</v>
      </c>
      <c r="I1574" s="2">
        <v>522.9</v>
      </c>
      <c r="J1574" s="2">
        <v>355.3</v>
      </c>
      <c r="K1574" s="2">
        <v>167.6</v>
      </c>
      <c r="L1574" s="2">
        <v>32.049999999999997</v>
      </c>
      <c r="M1574" s="2">
        <v>522.9</v>
      </c>
      <c r="N1574" s="2">
        <v>355.3</v>
      </c>
      <c r="O1574" s="2">
        <v>127.6</v>
      </c>
      <c r="P1574" s="2">
        <v>32.049999999999997</v>
      </c>
    </row>
    <row r="1575" spans="1:16" x14ac:dyDescent="0.25">
      <c r="A1575" t="s">
        <v>15</v>
      </c>
      <c r="B1575" t="s">
        <v>1839</v>
      </c>
      <c r="C1575" t="s">
        <v>17</v>
      </c>
      <c r="D1575" t="s">
        <v>1988</v>
      </c>
      <c r="E1575" t="s">
        <v>47</v>
      </c>
      <c r="F1575" t="s">
        <v>339</v>
      </c>
      <c r="G1575" s="1">
        <f>45909</f>
        <v>45909</v>
      </c>
      <c r="H1575" t="s">
        <v>2422</v>
      </c>
      <c r="I1575" s="2">
        <v>711.8</v>
      </c>
      <c r="J1575" s="2">
        <v>484</v>
      </c>
      <c r="K1575" s="2">
        <v>227.8</v>
      </c>
      <c r="L1575" s="2">
        <v>32</v>
      </c>
      <c r="M1575" s="2">
        <v>711.8</v>
      </c>
      <c r="N1575" s="2">
        <v>484</v>
      </c>
      <c r="O1575" s="2">
        <v>195.3</v>
      </c>
      <c r="P1575" s="2">
        <v>32</v>
      </c>
    </row>
    <row r="1576" spans="1:16" x14ac:dyDescent="0.25">
      <c r="A1576" t="s">
        <v>15</v>
      </c>
      <c r="B1576" t="s">
        <v>1839</v>
      </c>
      <c r="C1576" t="s">
        <v>17</v>
      </c>
      <c r="D1576" t="s">
        <v>1989</v>
      </c>
      <c r="E1576" t="s">
        <v>47</v>
      </c>
      <c r="F1576" t="s">
        <v>320</v>
      </c>
      <c r="G1576" s="1">
        <f>45911</f>
        <v>45911</v>
      </c>
      <c r="H1576" t="s">
        <v>2422</v>
      </c>
      <c r="I1576" s="2">
        <v>972.7</v>
      </c>
      <c r="J1576" s="2">
        <v>654.27</v>
      </c>
      <c r="K1576" s="2">
        <v>318.43</v>
      </c>
      <c r="L1576" s="2">
        <v>32.74</v>
      </c>
      <c r="M1576" s="2">
        <v>972.7</v>
      </c>
      <c r="N1576" s="2">
        <v>654.27</v>
      </c>
      <c r="O1576" s="2">
        <v>289.66000000000003</v>
      </c>
      <c r="P1576" s="2">
        <v>32.74</v>
      </c>
    </row>
    <row r="1577" spans="1:16" x14ac:dyDescent="0.25">
      <c r="A1577" t="s">
        <v>15</v>
      </c>
      <c r="B1577" t="s">
        <v>1839</v>
      </c>
      <c r="C1577" t="s">
        <v>17</v>
      </c>
      <c r="D1577" t="s">
        <v>1990</v>
      </c>
      <c r="E1577" t="s">
        <v>47</v>
      </c>
      <c r="F1577" t="s">
        <v>1991</v>
      </c>
      <c r="G1577" s="1">
        <f>45911</f>
        <v>45911</v>
      </c>
      <c r="H1577" t="s">
        <v>2422</v>
      </c>
      <c r="I1577" s="2">
        <v>586</v>
      </c>
      <c r="J1577" s="2">
        <v>214.47</v>
      </c>
      <c r="K1577" s="2">
        <v>371.53</v>
      </c>
      <c r="L1577" s="2">
        <v>63.4</v>
      </c>
      <c r="M1577" s="2">
        <v>586</v>
      </c>
      <c r="N1577" s="2">
        <v>214.47</v>
      </c>
      <c r="O1577" s="2">
        <v>346.53</v>
      </c>
      <c r="P1577" s="2">
        <v>63.4</v>
      </c>
    </row>
    <row r="1578" spans="1:16" x14ac:dyDescent="0.25">
      <c r="A1578" t="s">
        <v>15</v>
      </c>
      <c r="B1578" t="s">
        <v>1839</v>
      </c>
      <c r="C1578" t="s">
        <v>17</v>
      </c>
      <c r="D1578" t="s">
        <v>1992</v>
      </c>
      <c r="E1578" t="s">
        <v>47</v>
      </c>
      <c r="F1578" t="s">
        <v>324</v>
      </c>
      <c r="G1578" s="1">
        <f>45912</f>
        <v>45912</v>
      </c>
      <c r="H1578" t="s">
        <v>2422</v>
      </c>
      <c r="I1578" s="2">
        <v>1266</v>
      </c>
      <c r="J1578" s="2">
        <v>765.37</v>
      </c>
      <c r="K1578" s="2">
        <v>500.63</v>
      </c>
      <c r="L1578" s="2">
        <v>39.54</v>
      </c>
      <c r="M1578" s="2">
        <v>1266</v>
      </c>
      <c r="N1578" s="2">
        <v>816.97</v>
      </c>
      <c r="O1578" s="2">
        <v>429.88</v>
      </c>
      <c r="P1578" s="2">
        <v>35.47</v>
      </c>
    </row>
    <row r="1579" spans="1:16" x14ac:dyDescent="0.25">
      <c r="A1579" t="s">
        <v>15</v>
      </c>
      <c r="B1579" t="s">
        <v>1839</v>
      </c>
      <c r="C1579" t="s">
        <v>17</v>
      </c>
      <c r="D1579" t="s">
        <v>1993</v>
      </c>
      <c r="E1579" t="s">
        <v>47</v>
      </c>
      <c r="F1579" t="s">
        <v>318</v>
      </c>
      <c r="G1579" s="1">
        <f>45912</f>
        <v>45912</v>
      </c>
      <c r="H1579" t="s">
        <v>2422</v>
      </c>
      <c r="I1579" s="2">
        <v>807.6</v>
      </c>
      <c r="J1579" s="2">
        <v>532.15</v>
      </c>
      <c r="K1579" s="2">
        <v>275.45</v>
      </c>
      <c r="L1579" s="2">
        <v>34.11</v>
      </c>
      <c r="M1579" s="2">
        <v>807.6</v>
      </c>
      <c r="N1579" s="2">
        <v>532.15</v>
      </c>
      <c r="O1579" s="2">
        <v>225.45</v>
      </c>
      <c r="P1579" s="2">
        <v>34.11</v>
      </c>
    </row>
    <row r="1580" spans="1:16" x14ac:dyDescent="0.25">
      <c r="A1580" t="s">
        <v>15</v>
      </c>
      <c r="B1580" t="s">
        <v>1839</v>
      </c>
      <c r="C1580" t="s">
        <v>17</v>
      </c>
      <c r="D1580" t="s">
        <v>1994</v>
      </c>
      <c r="E1580" t="s">
        <v>47</v>
      </c>
      <c r="F1580" t="s">
        <v>311</v>
      </c>
      <c r="G1580" s="1">
        <f>45915</f>
        <v>45915</v>
      </c>
      <c r="H1580" t="s">
        <v>2422</v>
      </c>
      <c r="I1580" s="2">
        <v>2322.1</v>
      </c>
      <c r="J1580" s="2">
        <v>1682.1</v>
      </c>
      <c r="K1580" s="2">
        <v>640</v>
      </c>
      <c r="L1580" s="2">
        <v>27.56</v>
      </c>
      <c r="M1580" s="2">
        <v>2322.1</v>
      </c>
      <c r="N1580" s="2">
        <v>1682.1</v>
      </c>
      <c r="O1580" s="2">
        <v>631</v>
      </c>
      <c r="P1580" s="2">
        <v>27.56</v>
      </c>
    </row>
    <row r="1581" spans="1:16" x14ac:dyDescent="0.25">
      <c r="A1581" t="s">
        <v>15</v>
      </c>
      <c r="B1581" t="s">
        <v>1839</v>
      </c>
      <c r="C1581" t="s">
        <v>17</v>
      </c>
      <c r="D1581" t="s">
        <v>1995</v>
      </c>
      <c r="E1581" t="s">
        <v>47</v>
      </c>
      <c r="F1581" t="s">
        <v>359</v>
      </c>
      <c r="G1581" s="1">
        <f>45915</f>
        <v>45915</v>
      </c>
      <c r="H1581" t="s">
        <v>2422</v>
      </c>
      <c r="I1581" s="2">
        <v>685.5</v>
      </c>
      <c r="J1581" s="2">
        <v>431.98</v>
      </c>
      <c r="K1581" s="2">
        <v>253.52</v>
      </c>
      <c r="L1581" s="2">
        <v>36.979999999999997</v>
      </c>
      <c r="M1581" s="2">
        <v>685.5</v>
      </c>
      <c r="N1581" s="2">
        <v>431.98</v>
      </c>
      <c r="O1581" s="2">
        <v>135.52000000000001</v>
      </c>
      <c r="P1581" s="2">
        <v>36.979999999999997</v>
      </c>
    </row>
    <row r="1582" spans="1:16" x14ac:dyDescent="0.25">
      <c r="A1582" t="s">
        <v>15</v>
      </c>
      <c r="B1582" t="s">
        <v>1839</v>
      </c>
      <c r="C1582" t="s">
        <v>17</v>
      </c>
      <c r="D1582" t="s">
        <v>1996</v>
      </c>
      <c r="E1582" t="s">
        <v>47</v>
      </c>
      <c r="F1582" t="s">
        <v>370</v>
      </c>
      <c r="G1582" s="1">
        <f>45916</f>
        <v>45916</v>
      </c>
      <c r="H1582" t="s">
        <v>2422</v>
      </c>
      <c r="I1582" s="2">
        <v>150</v>
      </c>
      <c r="J1582" s="2">
        <v>81.64</v>
      </c>
      <c r="K1582" s="2">
        <v>68.36</v>
      </c>
      <c r="L1582" s="2">
        <v>45.57</v>
      </c>
      <c r="M1582" s="2">
        <v>150</v>
      </c>
      <c r="N1582" s="2">
        <v>80.23</v>
      </c>
      <c r="O1582" s="2">
        <v>58.65</v>
      </c>
      <c r="P1582" s="2">
        <v>46.51</v>
      </c>
    </row>
    <row r="1583" spans="1:16" x14ac:dyDescent="0.25">
      <c r="A1583" t="s">
        <v>15</v>
      </c>
      <c r="B1583" t="s">
        <v>1839</v>
      </c>
      <c r="C1583" t="s">
        <v>17</v>
      </c>
      <c r="D1583" t="s">
        <v>1997</v>
      </c>
      <c r="E1583" t="s">
        <v>47</v>
      </c>
      <c r="F1583" t="s">
        <v>1110</v>
      </c>
      <c r="G1583" s="1">
        <f>45916</f>
        <v>45916</v>
      </c>
      <c r="H1583" t="s">
        <v>2422</v>
      </c>
      <c r="I1583" s="2">
        <v>2507.94</v>
      </c>
      <c r="J1583" s="2">
        <v>1494.34</v>
      </c>
      <c r="K1583" s="2">
        <v>1013.6</v>
      </c>
      <c r="L1583" s="2">
        <v>40.42</v>
      </c>
      <c r="M1583" s="2">
        <v>2507.94</v>
      </c>
      <c r="N1583" s="2">
        <v>1494.34</v>
      </c>
      <c r="O1583" s="2">
        <v>976.6</v>
      </c>
      <c r="P1583" s="2">
        <v>40.42</v>
      </c>
    </row>
    <row r="1584" spans="1:16" x14ac:dyDescent="0.25">
      <c r="A1584" t="s">
        <v>15</v>
      </c>
      <c r="B1584" t="s">
        <v>1839</v>
      </c>
      <c r="C1584" t="s">
        <v>17</v>
      </c>
      <c r="D1584" t="s">
        <v>1998</v>
      </c>
      <c r="E1584" t="s">
        <v>47</v>
      </c>
      <c r="F1584" t="s">
        <v>316</v>
      </c>
      <c r="G1584" s="1">
        <f>45916</f>
        <v>45916</v>
      </c>
      <c r="H1584" t="s">
        <v>2422</v>
      </c>
      <c r="I1584" s="2">
        <v>413.6</v>
      </c>
      <c r="J1584" s="2">
        <v>274.26</v>
      </c>
      <c r="K1584" s="2">
        <v>139.34</v>
      </c>
      <c r="L1584" s="2">
        <v>33.69</v>
      </c>
      <c r="M1584" s="2">
        <v>413.6</v>
      </c>
      <c r="N1584" s="2">
        <v>274.26</v>
      </c>
      <c r="O1584" s="2">
        <v>97.34</v>
      </c>
      <c r="P1584" s="2">
        <v>33.69</v>
      </c>
    </row>
    <row r="1585" spans="1:16" x14ac:dyDescent="0.25">
      <c r="A1585" t="s">
        <v>15</v>
      </c>
      <c r="B1585" t="s">
        <v>1839</v>
      </c>
      <c r="C1585" t="s">
        <v>17</v>
      </c>
      <c r="D1585" t="s">
        <v>1999</v>
      </c>
      <c r="E1585" t="s">
        <v>47</v>
      </c>
      <c r="F1585" t="s">
        <v>313</v>
      </c>
      <c r="G1585" s="1">
        <f>45917</f>
        <v>45917</v>
      </c>
      <c r="H1585" t="s">
        <v>2422</v>
      </c>
      <c r="I1585" s="2">
        <v>521.54</v>
      </c>
      <c r="J1585" s="2">
        <v>314.56</v>
      </c>
      <c r="K1585" s="2">
        <v>206.98</v>
      </c>
      <c r="L1585" s="2">
        <v>39.69</v>
      </c>
      <c r="M1585" s="2">
        <v>521.54</v>
      </c>
      <c r="N1585" s="2">
        <v>314.55</v>
      </c>
      <c r="O1585" s="2">
        <v>177.99</v>
      </c>
      <c r="P1585" s="2">
        <v>39.69</v>
      </c>
    </row>
    <row r="1586" spans="1:16" x14ac:dyDescent="0.25">
      <c r="A1586" t="s">
        <v>15</v>
      </c>
      <c r="B1586" t="s">
        <v>1839</v>
      </c>
      <c r="C1586" t="s">
        <v>17</v>
      </c>
      <c r="D1586" t="s">
        <v>2000</v>
      </c>
      <c r="E1586" t="s">
        <v>47</v>
      </c>
      <c r="F1586" t="s">
        <v>613</v>
      </c>
      <c r="G1586" s="1">
        <f>45917</f>
        <v>45917</v>
      </c>
      <c r="H1586" t="s">
        <v>2422</v>
      </c>
      <c r="I1586" s="2">
        <v>856.4</v>
      </c>
      <c r="J1586" s="2">
        <v>576.4</v>
      </c>
      <c r="K1586" s="2">
        <v>280</v>
      </c>
      <c r="L1586" s="2">
        <v>32.700000000000003</v>
      </c>
      <c r="M1586" s="2">
        <v>856.4</v>
      </c>
      <c r="N1586" s="2">
        <v>576.4</v>
      </c>
      <c r="O1586" s="2">
        <v>251</v>
      </c>
      <c r="P1586" s="2">
        <v>32.700000000000003</v>
      </c>
    </row>
    <row r="1587" spans="1:16" x14ac:dyDescent="0.25">
      <c r="A1587" t="s">
        <v>15</v>
      </c>
      <c r="B1587" t="s">
        <v>1839</v>
      </c>
      <c r="C1587" t="s">
        <v>17</v>
      </c>
      <c r="D1587" t="s">
        <v>2001</v>
      </c>
      <c r="E1587" t="s">
        <v>47</v>
      </c>
      <c r="F1587" t="s">
        <v>35</v>
      </c>
      <c r="G1587" s="1">
        <f>45917</f>
        <v>45917</v>
      </c>
      <c r="H1587" t="s">
        <v>2422</v>
      </c>
      <c r="I1587" s="2">
        <v>1745</v>
      </c>
      <c r="J1587" s="2">
        <v>1193</v>
      </c>
      <c r="K1587" s="2">
        <v>552</v>
      </c>
      <c r="L1587" s="2">
        <v>31.63</v>
      </c>
      <c r="M1587" s="2">
        <v>1745</v>
      </c>
      <c r="N1587" s="2">
        <v>1193</v>
      </c>
      <c r="O1587" s="2">
        <v>464</v>
      </c>
      <c r="P1587" s="2">
        <v>31.63</v>
      </c>
    </row>
    <row r="1588" spans="1:16" x14ac:dyDescent="0.25">
      <c r="A1588" t="s">
        <v>15</v>
      </c>
      <c r="B1588" t="s">
        <v>1839</v>
      </c>
      <c r="C1588" t="s">
        <v>17</v>
      </c>
      <c r="D1588" t="s">
        <v>2002</v>
      </c>
      <c r="E1588" t="s">
        <v>47</v>
      </c>
      <c r="F1588" t="s">
        <v>604</v>
      </c>
      <c r="G1588" s="1">
        <f>45922</f>
        <v>45922</v>
      </c>
      <c r="H1588" t="s">
        <v>2422</v>
      </c>
      <c r="I1588" s="2">
        <v>1966.2</v>
      </c>
      <c r="J1588" s="2">
        <v>1417.9</v>
      </c>
      <c r="K1588" s="2">
        <v>548.29999999999995</v>
      </c>
      <c r="L1588" s="2">
        <v>27.89</v>
      </c>
      <c r="M1588" s="2">
        <v>1966.2</v>
      </c>
      <c r="N1588" s="2">
        <v>1417.9</v>
      </c>
      <c r="O1588" s="2">
        <v>496.8</v>
      </c>
      <c r="P1588" s="2">
        <v>27.89</v>
      </c>
    </row>
    <row r="1589" spans="1:16" x14ac:dyDescent="0.25">
      <c r="A1589" t="s">
        <v>15</v>
      </c>
      <c r="B1589" t="s">
        <v>1839</v>
      </c>
      <c r="C1589" t="s">
        <v>17</v>
      </c>
      <c r="D1589" t="s">
        <v>2003</v>
      </c>
      <c r="E1589" t="s">
        <v>47</v>
      </c>
      <c r="F1589" t="s">
        <v>363</v>
      </c>
      <c r="G1589" s="1">
        <f>45922</f>
        <v>45922</v>
      </c>
      <c r="H1589" t="s">
        <v>2422</v>
      </c>
      <c r="I1589" s="2">
        <v>188.4</v>
      </c>
      <c r="J1589" s="2">
        <v>133.80000000000001</v>
      </c>
      <c r="K1589" s="2">
        <v>54.6</v>
      </c>
      <c r="L1589" s="2">
        <v>28.98</v>
      </c>
      <c r="M1589" s="2">
        <v>188.4</v>
      </c>
      <c r="N1589" s="2">
        <v>133.80000000000001</v>
      </c>
      <c r="O1589" s="2">
        <v>45.6</v>
      </c>
      <c r="P1589" s="2">
        <v>28.98</v>
      </c>
    </row>
    <row r="1590" spans="1:16" x14ac:dyDescent="0.25">
      <c r="A1590" t="s">
        <v>15</v>
      </c>
      <c r="B1590" t="s">
        <v>1839</v>
      </c>
      <c r="C1590" t="s">
        <v>17</v>
      </c>
      <c r="D1590" t="s">
        <v>2004</v>
      </c>
      <c r="E1590" t="s">
        <v>47</v>
      </c>
      <c r="F1590" t="s">
        <v>322</v>
      </c>
      <c r="G1590" s="1">
        <f>45923</f>
        <v>45923</v>
      </c>
      <c r="H1590" t="s">
        <v>2422</v>
      </c>
      <c r="I1590" s="2">
        <v>492.25</v>
      </c>
      <c r="J1590" s="2">
        <v>304.92</v>
      </c>
      <c r="K1590" s="2">
        <v>187.33</v>
      </c>
      <c r="L1590" s="2">
        <v>38.06</v>
      </c>
      <c r="M1590" s="2">
        <v>492.25</v>
      </c>
      <c r="N1590" s="2">
        <v>304.87</v>
      </c>
      <c r="O1590" s="2">
        <v>133.38</v>
      </c>
      <c r="P1590" s="2">
        <v>38.07</v>
      </c>
    </row>
    <row r="1591" spans="1:16" x14ac:dyDescent="0.25">
      <c r="A1591" t="s">
        <v>15</v>
      </c>
      <c r="B1591" t="s">
        <v>1839</v>
      </c>
      <c r="C1591" t="s">
        <v>17</v>
      </c>
      <c r="D1591" t="s">
        <v>2005</v>
      </c>
      <c r="E1591" t="s">
        <v>47</v>
      </c>
      <c r="F1591" t="s">
        <v>331</v>
      </c>
      <c r="G1591" s="1">
        <f>45923</f>
        <v>45923</v>
      </c>
      <c r="H1591" t="s">
        <v>2422</v>
      </c>
      <c r="I1591" s="2">
        <v>470.8</v>
      </c>
      <c r="J1591" s="2">
        <v>347.62</v>
      </c>
      <c r="K1591" s="2">
        <v>123.18</v>
      </c>
      <c r="L1591" s="2">
        <v>26.16</v>
      </c>
      <c r="M1591" s="2">
        <v>470.8</v>
      </c>
      <c r="N1591" s="2">
        <v>347.62</v>
      </c>
      <c r="O1591" s="2">
        <v>95.18</v>
      </c>
      <c r="P1591" s="2">
        <v>26.16</v>
      </c>
    </row>
    <row r="1592" spans="1:16" x14ac:dyDescent="0.25">
      <c r="A1592" t="s">
        <v>15</v>
      </c>
      <c r="B1592" t="s">
        <v>1839</v>
      </c>
      <c r="C1592" t="s">
        <v>17</v>
      </c>
      <c r="D1592" t="s">
        <v>2006</v>
      </c>
      <c r="E1592" t="s">
        <v>47</v>
      </c>
      <c r="F1592" t="s">
        <v>35</v>
      </c>
      <c r="G1592" s="1">
        <f>45923</f>
        <v>45923</v>
      </c>
      <c r="H1592" t="s">
        <v>2422</v>
      </c>
      <c r="I1592" s="2">
        <v>239</v>
      </c>
      <c r="J1592" s="2">
        <v>126.13</v>
      </c>
      <c r="K1592" s="2">
        <v>112.87</v>
      </c>
      <c r="L1592" s="2">
        <v>47.23</v>
      </c>
      <c r="M1592" s="2">
        <v>239</v>
      </c>
      <c r="N1592" s="2">
        <v>126.13</v>
      </c>
      <c r="O1592" s="2">
        <v>103.87</v>
      </c>
      <c r="P1592" s="2">
        <v>47.23</v>
      </c>
    </row>
    <row r="1593" spans="1:16" x14ac:dyDescent="0.25">
      <c r="A1593" t="s">
        <v>15</v>
      </c>
      <c r="B1593" t="s">
        <v>1839</v>
      </c>
      <c r="C1593" t="s">
        <v>17</v>
      </c>
      <c r="D1593" t="s">
        <v>2007</v>
      </c>
      <c r="E1593" t="s">
        <v>47</v>
      </c>
      <c r="F1593" t="s">
        <v>322</v>
      </c>
      <c r="G1593" s="1">
        <f>45924</f>
        <v>45924</v>
      </c>
      <c r="H1593" t="s">
        <v>2422</v>
      </c>
      <c r="I1593" s="2">
        <v>1651.2</v>
      </c>
      <c r="J1593" s="2">
        <v>1111.8399999999999</v>
      </c>
      <c r="K1593" s="2">
        <v>539.36</v>
      </c>
      <c r="L1593" s="2">
        <v>32.659999999999997</v>
      </c>
      <c r="M1593" s="2">
        <v>1651.2</v>
      </c>
      <c r="N1593" s="2">
        <v>1111.8399999999999</v>
      </c>
      <c r="O1593" s="2">
        <v>475.36</v>
      </c>
      <c r="P1593" s="2">
        <v>32.659999999999997</v>
      </c>
    </row>
    <row r="1594" spans="1:16" x14ac:dyDescent="0.25">
      <c r="A1594" t="s">
        <v>15</v>
      </c>
      <c r="B1594" t="s">
        <v>1839</v>
      </c>
      <c r="C1594" t="s">
        <v>17</v>
      </c>
      <c r="D1594" t="s">
        <v>2008</v>
      </c>
      <c r="E1594" t="s">
        <v>19</v>
      </c>
      <c r="F1594" t="s">
        <v>333</v>
      </c>
      <c r="G1594" s="1">
        <f>45924</f>
        <v>45924</v>
      </c>
      <c r="H1594" t="s">
        <v>1755</v>
      </c>
      <c r="I1594" s="2">
        <v>4214.1000000000004</v>
      </c>
      <c r="J1594" s="2">
        <v>2977.6</v>
      </c>
      <c r="K1594" s="2">
        <v>1236.5</v>
      </c>
      <c r="L1594" s="2">
        <v>29.34</v>
      </c>
      <c r="M1594" s="2">
        <v>4214.1000000000004</v>
      </c>
      <c r="N1594" s="2">
        <v>2977.6</v>
      </c>
      <c r="O1594" s="2">
        <v>1164.5</v>
      </c>
      <c r="P1594" s="2">
        <v>29.34</v>
      </c>
    </row>
    <row r="1595" spans="1:16" x14ac:dyDescent="0.25">
      <c r="A1595" t="s">
        <v>15</v>
      </c>
      <c r="B1595" t="s">
        <v>1839</v>
      </c>
      <c r="C1595" t="s">
        <v>17</v>
      </c>
      <c r="D1595" t="s">
        <v>2009</v>
      </c>
      <c r="E1595" t="s">
        <v>47</v>
      </c>
      <c r="F1595" t="s">
        <v>2010</v>
      </c>
      <c r="G1595" s="1">
        <f>45925</f>
        <v>45925</v>
      </c>
      <c r="H1595" t="s">
        <v>2422</v>
      </c>
      <c r="I1595" s="2">
        <v>2809.76</v>
      </c>
      <c r="J1595" s="2">
        <v>1903.6</v>
      </c>
      <c r="K1595" s="2">
        <v>906.16</v>
      </c>
      <c r="L1595" s="2">
        <v>32.25</v>
      </c>
      <c r="M1595" s="2">
        <v>2809.76</v>
      </c>
      <c r="N1595" s="2">
        <v>1903.6</v>
      </c>
      <c r="O1595" s="2">
        <v>860.16</v>
      </c>
      <c r="P1595" s="2">
        <v>32.25</v>
      </c>
    </row>
    <row r="1596" spans="1:16" x14ac:dyDescent="0.25">
      <c r="A1596" t="s">
        <v>15</v>
      </c>
      <c r="B1596" t="s">
        <v>1839</v>
      </c>
      <c r="C1596" t="s">
        <v>17</v>
      </c>
      <c r="D1596" t="s">
        <v>2011</v>
      </c>
      <c r="E1596" t="s">
        <v>47</v>
      </c>
      <c r="F1596" t="s">
        <v>316</v>
      </c>
      <c r="G1596" s="1">
        <f>45929</f>
        <v>45929</v>
      </c>
      <c r="H1596" t="s">
        <v>2422</v>
      </c>
      <c r="I1596" s="2">
        <v>677.1</v>
      </c>
      <c r="J1596" s="2">
        <v>437.98</v>
      </c>
      <c r="K1596" s="2">
        <v>239.12</v>
      </c>
      <c r="L1596" s="2">
        <v>35.32</v>
      </c>
      <c r="M1596" s="2">
        <v>677.1</v>
      </c>
      <c r="N1596" s="2">
        <v>437.98</v>
      </c>
      <c r="O1596" s="2">
        <v>189.12</v>
      </c>
      <c r="P1596" s="2">
        <v>35.32</v>
      </c>
    </row>
    <row r="1597" spans="1:16" x14ac:dyDescent="0.25">
      <c r="A1597" t="s">
        <v>15</v>
      </c>
      <c r="B1597" t="s">
        <v>1839</v>
      </c>
      <c r="C1597" t="s">
        <v>17</v>
      </c>
      <c r="D1597" t="s">
        <v>2012</v>
      </c>
      <c r="E1597" t="s">
        <v>47</v>
      </c>
      <c r="F1597" t="s">
        <v>320</v>
      </c>
      <c r="G1597" s="1">
        <f>45930</f>
        <v>45930</v>
      </c>
      <c r="H1597" t="s">
        <v>2422</v>
      </c>
      <c r="I1597" s="2">
        <v>2625</v>
      </c>
      <c r="J1597" s="2">
        <v>1861</v>
      </c>
      <c r="K1597" s="2">
        <v>764</v>
      </c>
      <c r="L1597" s="2">
        <v>29.1</v>
      </c>
      <c r="M1597" s="2">
        <v>2625</v>
      </c>
      <c r="N1597" s="2">
        <v>1861</v>
      </c>
      <c r="O1597" s="2">
        <v>716</v>
      </c>
      <c r="P1597" s="2">
        <v>29.1</v>
      </c>
    </row>
    <row r="1598" spans="1:16" x14ac:dyDescent="0.25">
      <c r="A1598" t="s">
        <v>15</v>
      </c>
      <c r="B1598" t="s">
        <v>1839</v>
      </c>
      <c r="C1598" t="s">
        <v>17</v>
      </c>
      <c r="D1598" t="s">
        <v>2013</v>
      </c>
      <c r="E1598" t="s">
        <v>47</v>
      </c>
      <c r="F1598" t="s">
        <v>896</v>
      </c>
      <c r="G1598" s="1">
        <f>45905</f>
        <v>45905</v>
      </c>
      <c r="H1598" t="s">
        <v>2422</v>
      </c>
      <c r="I1598" s="2">
        <v>1111</v>
      </c>
      <c r="J1598" s="2">
        <v>639.15</v>
      </c>
      <c r="K1598" s="2">
        <v>471.85</v>
      </c>
      <c r="L1598" s="2">
        <v>42.47</v>
      </c>
      <c r="M1598" s="2">
        <v>1111</v>
      </c>
      <c r="N1598" s="2">
        <v>639.15</v>
      </c>
      <c r="O1598" s="2">
        <v>428.53</v>
      </c>
      <c r="P1598" s="2">
        <v>42.47</v>
      </c>
    </row>
    <row r="1599" spans="1:16" x14ac:dyDescent="0.25">
      <c r="A1599" t="s">
        <v>15</v>
      </c>
      <c r="B1599" t="s">
        <v>1839</v>
      </c>
      <c r="C1599" t="s">
        <v>17</v>
      </c>
      <c r="D1599" t="s">
        <v>2014</v>
      </c>
      <c r="E1599" t="s">
        <v>47</v>
      </c>
      <c r="F1599" t="s">
        <v>316</v>
      </c>
      <c r="G1599" s="1">
        <f>45916</f>
        <v>45916</v>
      </c>
      <c r="H1599" t="s">
        <v>2422</v>
      </c>
      <c r="I1599" s="2">
        <v>1020</v>
      </c>
      <c r="J1599" s="2">
        <v>531.1</v>
      </c>
      <c r="K1599" s="2">
        <v>488.9</v>
      </c>
      <c r="L1599" s="2">
        <v>47.93</v>
      </c>
      <c r="M1599" s="2">
        <v>1020</v>
      </c>
      <c r="N1599" s="2">
        <v>531.1</v>
      </c>
      <c r="O1599" s="2">
        <v>445.9</v>
      </c>
      <c r="P1599" s="2">
        <v>47.93</v>
      </c>
    </row>
    <row r="1600" spans="1:16" x14ac:dyDescent="0.25">
      <c r="A1600" t="s">
        <v>15</v>
      </c>
      <c r="B1600" t="s">
        <v>1839</v>
      </c>
      <c r="C1600" t="s">
        <v>17</v>
      </c>
      <c r="D1600" t="s">
        <v>2015</v>
      </c>
      <c r="E1600" t="s">
        <v>47</v>
      </c>
      <c r="F1600" t="s">
        <v>316</v>
      </c>
      <c r="G1600" s="1">
        <f>45909</f>
        <v>45909</v>
      </c>
      <c r="H1600" t="s">
        <v>2422</v>
      </c>
      <c r="I1600" s="2">
        <v>958.3</v>
      </c>
      <c r="J1600" s="2">
        <v>665</v>
      </c>
      <c r="K1600" s="2">
        <v>293.3</v>
      </c>
      <c r="L1600" s="2">
        <v>30.61</v>
      </c>
      <c r="M1600" s="2">
        <v>958.3</v>
      </c>
      <c r="N1600" s="2">
        <v>665</v>
      </c>
      <c r="O1600" s="2">
        <v>218.3</v>
      </c>
      <c r="P1600" s="2">
        <v>30.61</v>
      </c>
    </row>
    <row r="1601" spans="1:16" x14ac:dyDescent="0.25">
      <c r="A1601" t="s">
        <v>15</v>
      </c>
      <c r="B1601" t="s">
        <v>2016</v>
      </c>
      <c r="C1601" t="s">
        <v>42</v>
      </c>
      <c r="D1601" t="s">
        <v>2017</v>
      </c>
      <c r="E1601" t="s">
        <v>47</v>
      </c>
      <c r="F1601" t="s">
        <v>44</v>
      </c>
      <c r="G1601" s="1">
        <f>45931</f>
        <v>45931</v>
      </c>
      <c r="H1601" t="s">
        <v>2422</v>
      </c>
      <c r="I1601" s="2">
        <v>833</v>
      </c>
      <c r="J1601" s="2">
        <v>405.24</v>
      </c>
      <c r="K1601" s="2">
        <v>427.76</v>
      </c>
      <c r="L1601" s="2">
        <v>51.35</v>
      </c>
      <c r="M1601" s="2">
        <v>833</v>
      </c>
      <c r="N1601" s="2">
        <v>326.25</v>
      </c>
      <c r="O1601" s="2">
        <v>486.75</v>
      </c>
      <c r="P1601" s="2">
        <v>60.83</v>
      </c>
    </row>
    <row r="1602" spans="1:16" x14ac:dyDescent="0.25">
      <c r="A1602" t="s">
        <v>15</v>
      </c>
      <c r="B1602" t="s">
        <v>2016</v>
      </c>
      <c r="C1602" t="s">
        <v>42</v>
      </c>
      <c r="D1602" t="s">
        <v>2018</v>
      </c>
      <c r="E1602" t="s">
        <v>47</v>
      </c>
      <c r="F1602" t="s">
        <v>44</v>
      </c>
      <c r="G1602" s="1">
        <f>45931</f>
        <v>45931</v>
      </c>
      <c r="H1602" t="s">
        <v>2422</v>
      </c>
      <c r="I1602" s="2">
        <v>321.3</v>
      </c>
      <c r="J1602" s="2">
        <v>194.4</v>
      </c>
      <c r="K1602" s="2">
        <v>126.9</v>
      </c>
      <c r="L1602" s="2">
        <v>39.5</v>
      </c>
      <c r="M1602" s="2">
        <v>321.3</v>
      </c>
      <c r="N1602" s="2">
        <v>162.80000000000001</v>
      </c>
      <c r="O1602" s="2">
        <v>139.5</v>
      </c>
      <c r="P1602" s="2">
        <v>49.33</v>
      </c>
    </row>
    <row r="1603" spans="1:16" x14ac:dyDescent="0.25">
      <c r="A1603" t="s">
        <v>15</v>
      </c>
      <c r="B1603" t="s">
        <v>2016</v>
      </c>
      <c r="C1603" t="s">
        <v>42</v>
      </c>
      <c r="D1603" t="s">
        <v>2019</v>
      </c>
      <c r="E1603" t="s">
        <v>47</v>
      </c>
      <c r="F1603" t="s">
        <v>44</v>
      </c>
      <c r="G1603" s="1">
        <f>45931</f>
        <v>45931</v>
      </c>
      <c r="H1603" t="s">
        <v>2422</v>
      </c>
      <c r="I1603" s="2">
        <v>1615</v>
      </c>
      <c r="J1603" s="2">
        <v>1090.98</v>
      </c>
      <c r="K1603" s="2">
        <v>524.01</v>
      </c>
      <c r="L1603" s="2">
        <v>32.450000000000003</v>
      </c>
      <c r="M1603" s="2">
        <v>1615</v>
      </c>
      <c r="N1603" s="2">
        <v>925.02</v>
      </c>
      <c r="O1603" s="2">
        <v>667.98</v>
      </c>
      <c r="P1603" s="2">
        <v>42.72</v>
      </c>
    </row>
    <row r="1604" spans="1:16" x14ac:dyDescent="0.25">
      <c r="A1604" t="s">
        <v>15</v>
      </c>
      <c r="B1604" t="s">
        <v>2016</v>
      </c>
      <c r="C1604" t="s">
        <v>42</v>
      </c>
      <c r="D1604" t="s">
        <v>2020</v>
      </c>
      <c r="E1604" t="s">
        <v>47</v>
      </c>
      <c r="F1604" t="s">
        <v>44</v>
      </c>
      <c r="G1604" s="1">
        <f>45961</f>
        <v>45961</v>
      </c>
      <c r="H1604" t="s">
        <v>2422</v>
      </c>
      <c r="I1604" s="2">
        <v>3502</v>
      </c>
      <c r="J1604" s="2">
        <v>1594.97</v>
      </c>
      <c r="K1604" s="2">
        <v>1907.03</v>
      </c>
      <c r="L1604" s="2">
        <v>54.46</v>
      </c>
      <c r="M1604" s="2">
        <v>0</v>
      </c>
      <c r="N1604" s="2">
        <v>640</v>
      </c>
      <c r="O1604" s="2">
        <v>0</v>
      </c>
      <c r="P1604" s="2">
        <v>0</v>
      </c>
    </row>
    <row r="1605" spans="1:16" x14ac:dyDescent="0.25">
      <c r="A1605" t="s">
        <v>15</v>
      </c>
      <c r="B1605" t="s">
        <v>2016</v>
      </c>
      <c r="C1605" t="s">
        <v>42</v>
      </c>
      <c r="D1605" t="s">
        <v>2021</v>
      </c>
      <c r="E1605" t="s">
        <v>47</v>
      </c>
      <c r="F1605" t="s">
        <v>48</v>
      </c>
      <c r="G1605" s="1">
        <f>45961</f>
        <v>45961</v>
      </c>
      <c r="H1605" t="s">
        <v>2422</v>
      </c>
      <c r="I1605" s="2">
        <v>912</v>
      </c>
      <c r="J1605" s="2">
        <v>768</v>
      </c>
      <c r="K1605" s="2">
        <v>144</v>
      </c>
      <c r="L1605" s="2">
        <v>15.79</v>
      </c>
      <c r="M1605" s="2">
        <v>0</v>
      </c>
      <c r="N1605" s="2">
        <v>0</v>
      </c>
      <c r="O1605" s="2">
        <v>0</v>
      </c>
      <c r="P1605" s="2">
        <v>0</v>
      </c>
    </row>
    <row r="1606" spans="1:16" x14ac:dyDescent="0.25">
      <c r="A1606" t="s">
        <v>15</v>
      </c>
      <c r="B1606" t="s">
        <v>2016</v>
      </c>
      <c r="C1606" t="s">
        <v>42</v>
      </c>
      <c r="D1606" t="s">
        <v>2022</v>
      </c>
      <c r="E1606" t="s">
        <v>47</v>
      </c>
      <c r="F1606" t="s">
        <v>1297</v>
      </c>
      <c r="G1606" s="1">
        <f>45950</f>
        <v>45950</v>
      </c>
      <c r="H1606" t="s">
        <v>2422</v>
      </c>
      <c r="I1606" s="2">
        <v>0</v>
      </c>
      <c r="J1606" s="2">
        <v>1907.4</v>
      </c>
      <c r="K1606" s="2">
        <v>-1907.4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</row>
    <row r="1607" spans="1:16" x14ac:dyDescent="0.25">
      <c r="A1607" t="s">
        <v>15</v>
      </c>
      <c r="B1607" t="s">
        <v>2016</v>
      </c>
      <c r="C1607" t="s">
        <v>42</v>
      </c>
      <c r="D1607" t="s">
        <v>2023</v>
      </c>
      <c r="E1607" t="s">
        <v>47</v>
      </c>
      <c r="F1607" t="s">
        <v>1514</v>
      </c>
      <c r="G1607" s="1">
        <f>45954</f>
        <v>45954</v>
      </c>
      <c r="H1607" t="s">
        <v>2422</v>
      </c>
      <c r="I1607" s="2">
        <v>3198.8</v>
      </c>
      <c r="J1607" s="2">
        <v>2305.84</v>
      </c>
      <c r="K1607" s="2">
        <v>892.96</v>
      </c>
      <c r="L1607" s="2">
        <v>27.92</v>
      </c>
      <c r="M1607" s="2">
        <v>3198.8</v>
      </c>
      <c r="N1607" s="2">
        <v>2305.84</v>
      </c>
      <c r="O1607" s="2">
        <v>846.96</v>
      </c>
      <c r="P1607" s="2">
        <v>27.92</v>
      </c>
    </row>
    <row r="1608" spans="1:16" x14ac:dyDescent="0.25">
      <c r="A1608" t="s">
        <v>15</v>
      </c>
      <c r="B1608" t="s">
        <v>2016</v>
      </c>
      <c r="C1608" t="s">
        <v>42</v>
      </c>
      <c r="D1608" t="s">
        <v>2024</v>
      </c>
      <c r="E1608" t="s">
        <v>47</v>
      </c>
      <c r="F1608" t="s">
        <v>2025</v>
      </c>
      <c r="G1608" s="1">
        <f>45959</f>
        <v>45959</v>
      </c>
      <c r="H1608" t="s">
        <v>2422</v>
      </c>
      <c r="I1608" s="2">
        <v>1622</v>
      </c>
      <c r="J1608" s="2">
        <v>1047.05</v>
      </c>
      <c r="K1608" s="2">
        <v>574.95000000000005</v>
      </c>
      <c r="L1608" s="2">
        <v>35.450000000000003</v>
      </c>
      <c r="M1608" s="2">
        <v>1622</v>
      </c>
      <c r="N1608" s="2">
        <v>1047.05</v>
      </c>
      <c r="O1608" s="2">
        <v>509.95</v>
      </c>
      <c r="P1608" s="2">
        <v>35.450000000000003</v>
      </c>
    </row>
    <row r="1609" spans="1:16" x14ac:dyDescent="0.25">
      <c r="A1609" t="s">
        <v>15</v>
      </c>
      <c r="B1609" t="s">
        <v>2016</v>
      </c>
      <c r="C1609" t="s">
        <v>17</v>
      </c>
      <c r="D1609" t="s">
        <v>2026</v>
      </c>
      <c r="E1609" t="s">
        <v>47</v>
      </c>
      <c r="F1609" t="s">
        <v>1703</v>
      </c>
      <c r="G1609" s="1">
        <f>45931</f>
        <v>45931</v>
      </c>
      <c r="H1609" t="s">
        <v>51</v>
      </c>
      <c r="I1609" s="2">
        <v>295.64999999999998</v>
      </c>
      <c r="J1609" s="2">
        <v>170.57</v>
      </c>
      <c r="K1609" s="2">
        <v>125.08</v>
      </c>
      <c r="L1609" s="2">
        <v>42.31</v>
      </c>
      <c r="M1609" s="2">
        <v>295.64999999999998</v>
      </c>
      <c r="N1609" s="2">
        <v>165.56</v>
      </c>
      <c r="O1609" s="2">
        <v>121.09</v>
      </c>
      <c r="P1609" s="2">
        <v>44</v>
      </c>
    </row>
    <row r="1610" spans="1:16" x14ac:dyDescent="0.25">
      <c r="A1610" t="s">
        <v>15</v>
      </c>
      <c r="B1610" t="s">
        <v>2016</v>
      </c>
      <c r="C1610" t="s">
        <v>17</v>
      </c>
      <c r="D1610" t="s">
        <v>2027</v>
      </c>
      <c r="E1610" t="s">
        <v>19</v>
      </c>
      <c r="F1610" t="s">
        <v>402</v>
      </c>
      <c r="G1610" s="1">
        <f>45932</f>
        <v>45932</v>
      </c>
      <c r="H1610" t="s">
        <v>1755</v>
      </c>
      <c r="I1610" s="2">
        <v>1679</v>
      </c>
      <c r="J1610" s="2">
        <v>1082.51</v>
      </c>
      <c r="K1610" s="2">
        <v>596.49</v>
      </c>
      <c r="L1610" s="2">
        <v>35.53</v>
      </c>
      <c r="M1610" s="2">
        <v>1679</v>
      </c>
      <c r="N1610" s="2">
        <v>1082.51</v>
      </c>
      <c r="O1610" s="2">
        <v>541.49</v>
      </c>
      <c r="P1610" s="2">
        <v>35.53</v>
      </c>
    </row>
    <row r="1611" spans="1:16" x14ac:dyDescent="0.25">
      <c r="A1611" t="s">
        <v>15</v>
      </c>
      <c r="B1611" t="s">
        <v>2016</v>
      </c>
      <c r="C1611" t="s">
        <v>17</v>
      </c>
      <c r="D1611" t="s">
        <v>2028</v>
      </c>
      <c r="E1611" t="s">
        <v>19</v>
      </c>
      <c r="F1611" t="s">
        <v>402</v>
      </c>
      <c r="G1611" s="1">
        <f>45938</f>
        <v>45938</v>
      </c>
      <c r="H1611" t="s">
        <v>1755</v>
      </c>
      <c r="I1611" s="2">
        <v>2015.1</v>
      </c>
      <c r="J1611" s="2">
        <v>1348.21</v>
      </c>
      <c r="K1611" s="2">
        <v>666.89</v>
      </c>
      <c r="L1611" s="2">
        <v>33.090000000000003</v>
      </c>
      <c r="M1611" s="2">
        <v>2015.1</v>
      </c>
      <c r="N1611" s="2">
        <v>1348.21</v>
      </c>
      <c r="O1611" s="2">
        <v>341.68</v>
      </c>
      <c r="P1611" s="2">
        <v>33.090000000000003</v>
      </c>
    </row>
    <row r="1612" spans="1:16" x14ac:dyDescent="0.25">
      <c r="A1612" t="s">
        <v>15</v>
      </c>
      <c r="B1612" t="s">
        <v>2016</v>
      </c>
      <c r="C1612" t="s">
        <v>17</v>
      </c>
      <c r="D1612" t="s">
        <v>2029</v>
      </c>
      <c r="E1612" t="s">
        <v>19</v>
      </c>
      <c r="F1612" t="s">
        <v>2030</v>
      </c>
      <c r="G1612" s="1">
        <f>45938</f>
        <v>45938</v>
      </c>
      <c r="H1612" t="s">
        <v>1755</v>
      </c>
      <c r="I1612" s="2">
        <v>910.4</v>
      </c>
      <c r="J1612" s="2">
        <v>654.62</v>
      </c>
      <c r="K1612" s="2">
        <v>255.78</v>
      </c>
      <c r="L1612" s="2">
        <v>28.1</v>
      </c>
      <c r="M1612" s="2">
        <v>910.4</v>
      </c>
      <c r="N1612" s="2">
        <v>642.35</v>
      </c>
      <c r="O1612" s="2">
        <v>227.05</v>
      </c>
      <c r="P1612" s="2">
        <v>29.44</v>
      </c>
    </row>
    <row r="1613" spans="1:16" x14ac:dyDescent="0.25">
      <c r="A1613" t="s">
        <v>15</v>
      </c>
      <c r="B1613" t="s">
        <v>2016</v>
      </c>
      <c r="C1613" t="s">
        <v>17</v>
      </c>
      <c r="D1613" t="s">
        <v>2031</v>
      </c>
      <c r="E1613" t="s">
        <v>19</v>
      </c>
      <c r="F1613" t="s">
        <v>2032</v>
      </c>
      <c r="G1613" s="1">
        <f>45938</f>
        <v>45938</v>
      </c>
      <c r="H1613" t="s">
        <v>1755</v>
      </c>
      <c r="I1613" s="2">
        <v>162.1</v>
      </c>
      <c r="J1613" s="2">
        <v>95.32</v>
      </c>
      <c r="K1613" s="2">
        <v>66.78</v>
      </c>
      <c r="L1613" s="2">
        <v>41.2</v>
      </c>
      <c r="M1613" s="2">
        <v>162.1</v>
      </c>
      <c r="N1613" s="2">
        <v>95.32</v>
      </c>
      <c r="O1613" s="2">
        <v>57.78</v>
      </c>
      <c r="P1613" s="2">
        <v>41.2</v>
      </c>
    </row>
    <row r="1614" spans="1:16" x14ac:dyDescent="0.25">
      <c r="A1614" t="s">
        <v>15</v>
      </c>
      <c r="B1614" t="s">
        <v>2016</v>
      </c>
      <c r="C1614" t="s">
        <v>17</v>
      </c>
      <c r="D1614" t="s">
        <v>2033</v>
      </c>
      <c r="E1614" t="s">
        <v>19</v>
      </c>
      <c r="F1614" t="s">
        <v>1491</v>
      </c>
      <c r="G1614" s="1">
        <f>45945</f>
        <v>45945</v>
      </c>
      <c r="H1614" t="s">
        <v>1755</v>
      </c>
      <c r="I1614" s="2">
        <v>460.4</v>
      </c>
      <c r="J1614" s="2">
        <v>255.88</v>
      </c>
      <c r="K1614" s="2">
        <v>204.52</v>
      </c>
      <c r="L1614" s="2">
        <v>44.42</v>
      </c>
      <c r="M1614" s="2">
        <v>460.4</v>
      </c>
      <c r="N1614" s="2">
        <v>237.12</v>
      </c>
      <c r="O1614" s="2">
        <v>194.28</v>
      </c>
      <c r="P1614" s="2">
        <v>48.5</v>
      </c>
    </row>
    <row r="1615" spans="1:16" x14ac:dyDescent="0.25">
      <c r="A1615" t="s">
        <v>15</v>
      </c>
      <c r="B1615" t="s">
        <v>2016</v>
      </c>
      <c r="C1615" t="s">
        <v>17</v>
      </c>
      <c r="D1615" t="s">
        <v>2034</v>
      </c>
      <c r="E1615" t="s">
        <v>19</v>
      </c>
      <c r="F1615" t="s">
        <v>176</v>
      </c>
      <c r="G1615" s="1">
        <f>45951</f>
        <v>45951</v>
      </c>
      <c r="H1615" t="s">
        <v>1755</v>
      </c>
      <c r="I1615" s="2">
        <v>175.37</v>
      </c>
      <c r="J1615" s="2">
        <v>114.82</v>
      </c>
      <c r="K1615" s="2">
        <v>60.55</v>
      </c>
      <c r="L1615" s="2">
        <v>34.53</v>
      </c>
      <c r="M1615" s="2">
        <v>175.37</v>
      </c>
      <c r="N1615" s="2">
        <v>114.85</v>
      </c>
      <c r="O1615" s="2">
        <v>51.52</v>
      </c>
      <c r="P1615" s="2">
        <v>34.51</v>
      </c>
    </row>
    <row r="1616" spans="1:16" x14ac:dyDescent="0.25">
      <c r="A1616" t="s">
        <v>15</v>
      </c>
      <c r="B1616" t="s">
        <v>2016</v>
      </c>
      <c r="C1616" t="s">
        <v>17</v>
      </c>
      <c r="D1616" t="s">
        <v>2035</v>
      </c>
      <c r="E1616" t="s">
        <v>19</v>
      </c>
      <c r="F1616" t="s">
        <v>2036</v>
      </c>
      <c r="G1616" s="1">
        <f>45951</f>
        <v>45951</v>
      </c>
      <c r="H1616" t="s">
        <v>1755</v>
      </c>
      <c r="I1616" s="2">
        <v>202</v>
      </c>
      <c r="J1616" s="2">
        <v>130.44</v>
      </c>
      <c r="K1616" s="2">
        <v>71.56</v>
      </c>
      <c r="L1616" s="2">
        <v>35.43</v>
      </c>
      <c r="M1616" s="2">
        <v>202</v>
      </c>
      <c r="N1616" s="2">
        <v>130.41999999999999</v>
      </c>
      <c r="O1616" s="2">
        <v>0.57999999999999996</v>
      </c>
      <c r="P1616" s="2">
        <v>35.44</v>
      </c>
    </row>
    <row r="1617" spans="1:16" x14ac:dyDescent="0.25">
      <c r="A1617" t="s">
        <v>15</v>
      </c>
      <c r="B1617" t="s">
        <v>2016</v>
      </c>
      <c r="C1617" t="s">
        <v>17</v>
      </c>
      <c r="D1617" t="s">
        <v>2037</v>
      </c>
      <c r="E1617" t="s">
        <v>47</v>
      </c>
      <c r="F1617" t="s">
        <v>50</v>
      </c>
      <c r="G1617" s="1">
        <f>45952</f>
        <v>45952</v>
      </c>
      <c r="H1617" t="s">
        <v>1755</v>
      </c>
      <c r="I1617" s="2">
        <v>557</v>
      </c>
      <c r="J1617" s="2">
        <v>381.91</v>
      </c>
      <c r="K1617" s="2">
        <v>175.09</v>
      </c>
      <c r="L1617" s="2">
        <v>31.43</v>
      </c>
      <c r="M1617" s="2">
        <v>0</v>
      </c>
      <c r="N1617" s="2">
        <v>381.91</v>
      </c>
      <c r="O1617" s="2">
        <v>0</v>
      </c>
      <c r="P1617" s="2">
        <v>0</v>
      </c>
    </row>
    <row r="1618" spans="1:16" x14ac:dyDescent="0.25">
      <c r="A1618" t="s">
        <v>15</v>
      </c>
      <c r="B1618" t="s">
        <v>2016</v>
      </c>
      <c r="C1618" t="s">
        <v>17</v>
      </c>
      <c r="D1618" t="s">
        <v>2038</v>
      </c>
      <c r="E1618" t="s">
        <v>19</v>
      </c>
      <c r="F1618" t="s">
        <v>402</v>
      </c>
      <c r="G1618" s="1">
        <f>45954</f>
        <v>45954</v>
      </c>
      <c r="H1618" t="s">
        <v>1755</v>
      </c>
      <c r="I1618" s="2">
        <v>3608.5</v>
      </c>
      <c r="J1618" s="2">
        <v>2338.39</v>
      </c>
      <c r="K1618" s="2">
        <v>1270.1099999999999</v>
      </c>
      <c r="L1618" s="2">
        <v>35.200000000000003</v>
      </c>
      <c r="M1618" s="2">
        <v>3608.5</v>
      </c>
      <c r="N1618" s="2">
        <v>2338.37</v>
      </c>
      <c r="O1618" s="2">
        <v>1208.18</v>
      </c>
      <c r="P1618" s="2">
        <v>35.200000000000003</v>
      </c>
    </row>
    <row r="1619" spans="1:16" x14ac:dyDescent="0.25">
      <c r="A1619" t="s">
        <v>15</v>
      </c>
      <c r="B1619" t="s">
        <v>2016</v>
      </c>
      <c r="C1619" t="s">
        <v>17</v>
      </c>
      <c r="D1619" t="s">
        <v>2039</v>
      </c>
      <c r="E1619" t="s">
        <v>19</v>
      </c>
      <c r="F1619" t="s">
        <v>1707</v>
      </c>
      <c r="G1619" s="1">
        <f>45957</f>
        <v>45957</v>
      </c>
      <c r="H1619" t="s">
        <v>1755</v>
      </c>
      <c r="I1619" s="2">
        <v>617.29999999999995</v>
      </c>
      <c r="J1619" s="2">
        <v>400.5</v>
      </c>
      <c r="K1619" s="2">
        <v>216.8</v>
      </c>
      <c r="L1619" s="2">
        <v>35.119999999999997</v>
      </c>
      <c r="M1619" s="2">
        <v>617.29999999999995</v>
      </c>
      <c r="N1619" s="2">
        <v>400.5</v>
      </c>
      <c r="O1619" s="2">
        <v>176.8</v>
      </c>
      <c r="P1619" s="2">
        <v>35.119999999999997</v>
      </c>
    </row>
    <row r="1620" spans="1:16" x14ac:dyDescent="0.25">
      <c r="A1620" t="s">
        <v>15</v>
      </c>
      <c r="B1620" t="s">
        <v>2016</v>
      </c>
      <c r="C1620" t="s">
        <v>17</v>
      </c>
      <c r="D1620" t="s">
        <v>2040</v>
      </c>
      <c r="E1620" t="s">
        <v>47</v>
      </c>
      <c r="F1620" t="s">
        <v>50</v>
      </c>
      <c r="G1620" s="1">
        <f>45958</f>
        <v>45958</v>
      </c>
      <c r="H1620" t="s">
        <v>1755</v>
      </c>
      <c r="I1620" s="2">
        <v>7625.7</v>
      </c>
      <c r="J1620" s="2">
        <v>4598.45</v>
      </c>
      <c r="K1620" s="2">
        <v>3027.25</v>
      </c>
      <c r="L1620" s="2">
        <v>39.700000000000003</v>
      </c>
      <c r="M1620" s="2">
        <v>7625.7</v>
      </c>
      <c r="N1620" s="2">
        <v>4598.45</v>
      </c>
      <c r="O1620" s="2">
        <v>2627.25</v>
      </c>
      <c r="P1620" s="2">
        <v>39.700000000000003</v>
      </c>
    </row>
    <row r="1621" spans="1:16" x14ac:dyDescent="0.25">
      <c r="A1621" t="s">
        <v>15</v>
      </c>
      <c r="B1621" t="s">
        <v>2016</v>
      </c>
      <c r="C1621" t="s">
        <v>17</v>
      </c>
      <c r="D1621" t="s">
        <v>2041</v>
      </c>
      <c r="E1621" t="s">
        <v>47</v>
      </c>
      <c r="F1621" t="s">
        <v>181</v>
      </c>
      <c r="G1621" s="1">
        <f>45960</f>
        <v>45960</v>
      </c>
      <c r="H1621" t="s">
        <v>1755</v>
      </c>
      <c r="I1621" s="2">
        <v>3166.1</v>
      </c>
      <c r="J1621" s="2">
        <v>1876.1</v>
      </c>
      <c r="K1621" s="2">
        <v>1290</v>
      </c>
      <c r="L1621" s="2">
        <v>40.74</v>
      </c>
      <c r="M1621" s="2">
        <v>3166.1</v>
      </c>
      <c r="N1621" s="2">
        <v>1876.1</v>
      </c>
      <c r="O1621" s="2">
        <v>1278</v>
      </c>
      <c r="P1621" s="2">
        <v>40.74</v>
      </c>
    </row>
    <row r="1622" spans="1:16" x14ac:dyDescent="0.25">
      <c r="A1622" t="s">
        <v>15</v>
      </c>
      <c r="B1622" t="s">
        <v>2016</v>
      </c>
      <c r="C1622" t="s">
        <v>58</v>
      </c>
      <c r="D1622" t="s">
        <v>2042</v>
      </c>
      <c r="E1622" t="s">
        <v>47</v>
      </c>
      <c r="F1622" t="s">
        <v>450</v>
      </c>
      <c r="G1622" s="1">
        <f>45931</f>
        <v>45931</v>
      </c>
      <c r="H1622" t="s">
        <v>56</v>
      </c>
      <c r="I1622" s="2">
        <v>2708</v>
      </c>
      <c r="J1622" s="2">
        <v>1834</v>
      </c>
      <c r="K1622" s="2">
        <v>874</v>
      </c>
      <c r="L1622" s="2">
        <v>32.270000000000003</v>
      </c>
      <c r="M1622" s="2">
        <v>2708</v>
      </c>
      <c r="N1622" s="2">
        <v>1834</v>
      </c>
      <c r="O1622" s="2">
        <v>681</v>
      </c>
      <c r="P1622" s="2">
        <v>32.270000000000003</v>
      </c>
    </row>
    <row r="1623" spans="1:16" x14ac:dyDescent="0.25">
      <c r="A1623" t="s">
        <v>15</v>
      </c>
      <c r="B1623" t="s">
        <v>2016</v>
      </c>
      <c r="C1623" t="s">
        <v>58</v>
      </c>
      <c r="D1623" t="s">
        <v>2043</v>
      </c>
      <c r="E1623" t="s">
        <v>19</v>
      </c>
      <c r="F1623" t="s">
        <v>1338</v>
      </c>
      <c r="G1623" s="1">
        <f>45931</f>
        <v>45931</v>
      </c>
      <c r="H1623" t="s">
        <v>56</v>
      </c>
      <c r="I1623" s="2">
        <v>451</v>
      </c>
      <c r="J1623" s="2">
        <v>199.78</v>
      </c>
      <c r="K1623" s="2">
        <v>251.22</v>
      </c>
      <c r="L1623" s="2">
        <v>55.7</v>
      </c>
      <c r="M1623" s="2">
        <v>451</v>
      </c>
      <c r="N1623" s="2">
        <v>199.78</v>
      </c>
      <c r="O1623" s="2">
        <v>142.22</v>
      </c>
      <c r="P1623" s="2">
        <v>55.7</v>
      </c>
    </row>
    <row r="1624" spans="1:16" x14ac:dyDescent="0.25">
      <c r="A1624" t="s">
        <v>15</v>
      </c>
      <c r="B1624" t="s">
        <v>2016</v>
      </c>
      <c r="C1624" t="s">
        <v>58</v>
      </c>
      <c r="D1624" t="s">
        <v>2044</v>
      </c>
      <c r="E1624" t="s">
        <v>19</v>
      </c>
      <c r="F1624" t="s">
        <v>698</v>
      </c>
      <c r="G1624" s="1">
        <f>45931</f>
        <v>45931</v>
      </c>
      <c r="H1624" t="s">
        <v>56</v>
      </c>
      <c r="I1624" s="2">
        <v>1496.4</v>
      </c>
      <c r="J1624" s="2">
        <v>867.95</v>
      </c>
      <c r="K1624" s="2">
        <v>628.45000000000005</v>
      </c>
      <c r="L1624" s="2">
        <v>42</v>
      </c>
      <c r="M1624" s="2">
        <v>1496.4</v>
      </c>
      <c r="N1624" s="2">
        <v>867.95</v>
      </c>
      <c r="O1624" s="2">
        <v>538.54999999999995</v>
      </c>
      <c r="P1624" s="2">
        <v>42</v>
      </c>
    </row>
    <row r="1625" spans="1:16" x14ac:dyDescent="0.25">
      <c r="A1625" t="s">
        <v>15</v>
      </c>
      <c r="B1625" t="s">
        <v>2016</v>
      </c>
      <c r="C1625" t="s">
        <v>58</v>
      </c>
      <c r="D1625" t="s">
        <v>2045</v>
      </c>
      <c r="E1625" t="s">
        <v>19</v>
      </c>
      <c r="F1625" t="s">
        <v>692</v>
      </c>
      <c r="G1625" s="1">
        <f>45932</f>
        <v>45932</v>
      </c>
      <c r="H1625" t="s">
        <v>56</v>
      </c>
      <c r="I1625" s="2">
        <v>1000.2</v>
      </c>
      <c r="J1625" s="2">
        <v>655.64</v>
      </c>
      <c r="K1625" s="2">
        <v>344.56</v>
      </c>
      <c r="L1625" s="2">
        <v>34.450000000000003</v>
      </c>
      <c r="M1625" s="2">
        <v>1000.2</v>
      </c>
      <c r="N1625" s="2">
        <v>655.64</v>
      </c>
      <c r="O1625" s="2">
        <v>329.56</v>
      </c>
      <c r="P1625" s="2">
        <v>34.450000000000003</v>
      </c>
    </row>
    <row r="1626" spans="1:16" x14ac:dyDescent="0.25">
      <c r="A1626" t="s">
        <v>15</v>
      </c>
      <c r="B1626" t="s">
        <v>2016</v>
      </c>
      <c r="C1626" t="s">
        <v>58</v>
      </c>
      <c r="D1626" t="s">
        <v>2046</v>
      </c>
      <c r="E1626" t="s">
        <v>19</v>
      </c>
      <c r="F1626" t="s">
        <v>126</v>
      </c>
      <c r="G1626" s="1">
        <f>45932</f>
        <v>45932</v>
      </c>
      <c r="H1626" t="s">
        <v>56</v>
      </c>
      <c r="I1626" s="2">
        <v>491.4</v>
      </c>
      <c r="J1626" s="2">
        <v>329</v>
      </c>
      <c r="K1626" s="2">
        <v>162.4</v>
      </c>
      <c r="L1626" s="2">
        <v>33.049999999999997</v>
      </c>
      <c r="M1626" s="2">
        <v>491.4</v>
      </c>
      <c r="N1626" s="2">
        <v>329</v>
      </c>
      <c r="O1626" s="2">
        <v>138.4</v>
      </c>
      <c r="P1626" s="2">
        <v>33.049999999999997</v>
      </c>
    </row>
    <row r="1627" spans="1:16" x14ac:dyDescent="0.25">
      <c r="A1627" t="s">
        <v>15</v>
      </c>
      <c r="B1627" t="s">
        <v>2016</v>
      </c>
      <c r="C1627" t="s">
        <v>58</v>
      </c>
      <c r="D1627" t="s">
        <v>2047</v>
      </c>
      <c r="E1627" t="s">
        <v>19</v>
      </c>
      <c r="F1627" t="s">
        <v>64</v>
      </c>
      <c r="G1627" s="1">
        <f>45932</f>
        <v>45932</v>
      </c>
      <c r="H1627" t="s">
        <v>56</v>
      </c>
      <c r="I1627" s="2">
        <v>669.35</v>
      </c>
      <c r="J1627" s="2">
        <v>407.95</v>
      </c>
      <c r="K1627" s="2">
        <v>261.39999999999998</v>
      </c>
      <c r="L1627" s="2">
        <v>39.049999999999997</v>
      </c>
      <c r="M1627" s="2">
        <v>669.35</v>
      </c>
      <c r="N1627" s="2">
        <v>407.95</v>
      </c>
      <c r="O1627" s="2">
        <v>236.4</v>
      </c>
      <c r="P1627" s="2">
        <v>39.049999999999997</v>
      </c>
    </row>
    <row r="1628" spans="1:16" x14ac:dyDescent="0.25">
      <c r="A1628" t="s">
        <v>15</v>
      </c>
      <c r="B1628" t="s">
        <v>2016</v>
      </c>
      <c r="C1628" t="s">
        <v>58</v>
      </c>
      <c r="D1628" t="s">
        <v>2048</v>
      </c>
      <c r="E1628" t="s">
        <v>47</v>
      </c>
      <c r="F1628" t="s">
        <v>69</v>
      </c>
      <c r="G1628" s="1">
        <f>45933</f>
        <v>45933</v>
      </c>
      <c r="H1628" t="s">
        <v>70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34.700000000000003</v>
      </c>
      <c r="O1628" s="2">
        <v>0</v>
      </c>
      <c r="P1628" s="2">
        <v>0</v>
      </c>
    </row>
    <row r="1629" spans="1:16" x14ac:dyDescent="0.25">
      <c r="A1629" t="s">
        <v>15</v>
      </c>
      <c r="B1629" t="s">
        <v>2016</v>
      </c>
      <c r="C1629" t="s">
        <v>58</v>
      </c>
      <c r="D1629" t="s">
        <v>2049</v>
      </c>
      <c r="E1629" t="s">
        <v>47</v>
      </c>
      <c r="F1629" t="s">
        <v>69</v>
      </c>
      <c r="G1629" s="1">
        <f>45933</f>
        <v>45933</v>
      </c>
      <c r="H1629" t="s">
        <v>70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2.23</v>
      </c>
      <c r="O1629" s="2">
        <v>0</v>
      </c>
      <c r="P1629" s="2">
        <v>0</v>
      </c>
    </row>
    <row r="1630" spans="1:16" x14ac:dyDescent="0.25">
      <c r="A1630" t="s">
        <v>15</v>
      </c>
      <c r="B1630" t="s">
        <v>2016</v>
      </c>
      <c r="C1630" t="s">
        <v>58</v>
      </c>
      <c r="D1630" t="s">
        <v>2050</v>
      </c>
      <c r="E1630" t="s">
        <v>19</v>
      </c>
      <c r="F1630" t="s">
        <v>64</v>
      </c>
      <c r="G1630" s="1">
        <f>45933</f>
        <v>45933</v>
      </c>
      <c r="H1630" t="s">
        <v>56</v>
      </c>
      <c r="I1630" s="2">
        <v>650.4</v>
      </c>
      <c r="J1630" s="2">
        <v>455.14</v>
      </c>
      <c r="K1630" s="2">
        <v>195.26</v>
      </c>
      <c r="L1630" s="2">
        <v>30.02</v>
      </c>
      <c r="M1630" s="2">
        <v>650.4</v>
      </c>
      <c r="N1630" s="2">
        <v>437.04</v>
      </c>
      <c r="O1630" s="2">
        <v>204.36</v>
      </c>
      <c r="P1630" s="2">
        <v>32.799999999999997</v>
      </c>
    </row>
    <row r="1631" spans="1:16" x14ac:dyDescent="0.25">
      <c r="A1631" t="s">
        <v>15</v>
      </c>
      <c r="B1631" t="s">
        <v>2016</v>
      </c>
      <c r="C1631" t="s">
        <v>58</v>
      </c>
      <c r="D1631" t="s">
        <v>2051</v>
      </c>
      <c r="E1631" t="s">
        <v>19</v>
      </c>
      <c r="F1631" t="s">
        <v>463</v>
      </c>
      <c r="G1631" s="1">
        <f>45933</f>
        <v>45933</v>
      </c>
      <c r="H1631" t="s">
        <v>56</v>
      </c>
      <c r="I1631" s="2">
        <v>1190.9000000000001</v>
      </c>
      <c r="J1631" s="2">
        <v>695.95</v>
      </c>
      <c r="K1631" s="2">
        <v>494.95</v>
      </c>
      <c r="L1631" s="2">
        <v>41.56</v>
      </c>
      <c r="M1631" s="2">
        <v>1190.9000000000001</v>
      </c>
      <c r="N1631" s="2">
        <v>695.95</v>
      </c>
      <c r="O1631" s="2">
        <v>439.95</v>
      </c>
      <c r="P1631" s="2">
        <v>41.56</v>
      </c>
    </row>
    <row r="1632" spans="1:16" x14ac:dyDescent="0.25">
      <c r="A1632" t="s">
        <v>15</v>
      </c>
      <c r="B1632" t="s">
        <v>2016</v>
      </c>
      <c r="C1632" t="s">
        <v>58</v>
      </c>
      <c r="D1632" t="s">
        <v>2052</v>
      </c>
      <c r="E1632" t="s">
        <v>19</v>
      </c>
      <c r="F1632" t="s">
        <v>131</v>
      </c>
      <c r="G1632" s="1">
        <f>45936</f>
        <v>45936</v>
      </c>
      <c r="H1632" t="s">
        <v>1755</v>
      </c>
      <c r="I1632" s="2">
        <v>1442.96</v>
      </c>
      <c r="J1632" s="2">
        <v>981.2</v>
      </c>
      <c r="K1632" s="2">
        <v>461.76</v>
      </c>
      <c r="L1632" s="2">
        <v>32</v>
      </c>
      <c r="M1632" s="2">
        <v>1442.96</v>
      </c>
      <c r="N1632" s="2">
        <v>981.2</v>
      </c>
      <c r="O1632" s="2">
        <v>404.56</v>
      </c>
      <c r="P1632" s="2">
        <v>32</v>
      </c>
    </row>
    <row r="1633" spans="1:16" x14ac:dyDescent="0.25">
      <c r="A1633" t="s">
        <v>15</v>
      </c>
      <c r="B1633" t="s">
        <v>2016</v>
      </c>
      <c r="C1633" t="s">
        <v>58</v>
      </c>
      <c r="D1633" t="s">
        <v>2053</v>
      </c>
      <c r="E1633" t="s">
        <v>19</v>
      </c>
      <c r="F1633" t="s">
        <v>465</v>
      </c>
      <c r="G1633" s="1">
        <f>45936</f>
        <v>45936</v>
      </c>
      <c r="H1633" t="s">
        <v>56</v>
      </c>
      <c r="I1633" s="2">
        <v>4712.1499999999996</v>
      </c>
      <c r="J1633" s="2">
        <v>3285.92</v>
      </c>
      <c r="K1633" s="2">
        <v>1426.23</v>
      </c>
      <c r="L1633" s="2">
        <v>30.27</v>
      </c>
      <c r="M1633" s="2">
        <v>4712.1499999999996</v>
      </c>
      <c r="N1633" s="2">
        <v>3035.42</v>
      </c>
      <c r="O1633" s="2">
        <v>1612.73</v>
      </c>
      <c r="P1633" s="2">
        <v>35.58</v>
      </c>
    </row>
    <row r="1634" spans="1:16" x14ac:dyDescent="0.25">
      <c r="A1634" t="s">
        <v>15</v>
      </c>
      <c r="B1634" t="s">
        <v>2016</v>
      </c>
      <c r="C1634" t="s">
        <v>58</v>
      </c>
      <c r="D1634" t="s">
        <v>2054</v>
      </c>
      <c r="E1634" t="s">
        <v>47</v>
      </c>
      <c r="F1634" t="s">
        <v>408</v>
      </c>
      <c r="G1634" s="1">
        <f>45938</f>
        <v>45938</v>
      </c>
      <c r="H1634" t="s">
        <v>56</v>
      </c>
      <c r="I1634" s="2">
        <v>1700.95</v>
      </c>
      <c r="J1634" s="2">
        <v>996.43</v>
      </c>
      <c r="K1634" s="2">
        <v>704.52</v>
      </c>
      <c r="L1634" s="2">
        <v>41.42</v>
      </c>
      <c r="M1634" s="2">
        <v>1414.75</v>
      </c>
      <c r="N1634" s="2">
        <v>987.03</v>
      </c>
      <c r="O1634" s="2">
        <v>392.72</v>
      </c>
      <c r="P1634" s="2">
        <v>30.23</v>
      </c>
    </row>
    <row r="1635" spans="1:16" x14ac:dyDescent="0.25">
      <c r="A1635" t="s">
        <v>15</v>
      </c>
      <c r="B1635" t="s">
        <v>2016</v>
      </c>
      <c r="C1635" t="s">
        <v>58</v>
      </c>
      <c r="D1635" t="s">
        <v>2055</v>
      </c>
      <c r="E1635" t="s">
        <v>19</v>
      </c>
      <c r="F1635" t="s">
        <v>131</v>
      </c>
      <c r="G1635" s="1">
        <f>45938</f>
        <v>45938</v>
      </c>
      <c r="H1635" t="s">
        <v>1755</v>
      </c>
      <c r="I1635" s="2">
        <v>533.4</v>
      </c>
      <c r="J1635" s="2">
        <v>308</v>
      </c>
      <c r="K1635" s="2">
        <v>225.4</v>
      </c>
      <c r="L1635" s="2">
        <v>42.26</v>
      </c>
      <c r="M1635" s="2">
        <v>533.4</v>
      </c>
      <c r="N1635" s="2">
        <v>308</v>
      </c>
      <c r="O1635" s="2">
        <v>213.4</v>
      </c>
      <c r="P1635" s="2">
        <v>42.26</v>
      </c>
    </row>
    <row r="1636" spans="1:16" x14ac:dyDescent="0.25">
      <c r="A1636" t="s">
        <v>15</v>
      </c>
      <c r="B1636" t="s">
        <v>2016</v>
      </c>
      <c r="C1636" t="s">
        <v>58</v>
      </c>
      <c r="D1636" t="s">
        <v>2056</v>
      </c>
      <c r="E1636" t="s">
        <v>19</v>
      </c>
      <c r="F1636" t="s">
        <v>64</v>
      </c>
      <c r="G1636" s="1">
        <f>45938</f>
        <v>45938</v>
      </c>
      <c r="H1636" t="s">
        <v>56</v>
      </c>
      <c r="I1636" s="2">
        <v>845.06</v>
      </c>
      <c r="J1636" s="2">
        <v>563.16999999999996</v>
      </c>
      <c r="K1636" s="2">
        <v>281.88</v>
      </c>
      <c r="L1636" s="2">
        <v>33.36</v>
      </c>
      <c r="M1636" s="2">
        <v>845.06</v>
      </c>
      <c r="N1636" s="2">
        <v>579.02</v>
      </c>
      <c r="O1636" s="2">
        <v>216.04</v>
      </c>
      <c r="P1636" s="2">
        <v>31.48</v>
      </c>
    </row>
    <row r="1637" spans="1:16" x14ac:dyDescent="0.25">
      <c r="A1637" t="s">
        <v>15</v>
      </c>
      <c r="B1637" t="s">
        <v>2016</v>
      </c>
      <c r="C1637" t="s">
        <v>58</v>
      </c>
      <c r="D1637" t="s">
        <v>2057</v>
      </c>
      <c r="E1637" t="s">
        <v>19</v>
      </c>
      <c r="F1637" t="s">
        <v>1165</v>
      </c>
      <c r="G1637" s="1">
        <f>45939</f>
        <v>45939</v>
      </c>
      <c r="H1637" t="s">
        <v>56</v>
      </c>
      <c r="I1637" s="2">
        <v>514</v>
      </c>
      <c r="J1637" s="2">
        <v>319.05</v>
      </c>
      <c r="K1637" s="2">
        <v>194.95</v>
      </c>
      <c r="L1637" s="2">
        <v>37.93</v>
      </c>
      <c r="M1637" s="2">
        <v>514</v>
      </c>
      <c r="N1637" s="2">
        <v>319.05</v>
      </c>
      <c r="O1637" s="2">
        <v>185.95</v>
      </c>
      <c r="P1637" s="2">
        <v>37.93</v>
      </c>
    </row>
    <row r="1638" spans="1:16" x14ac:dyDescent="0.25">
      <c r="A1638" t="s">
        <v>15</v>
      </c>
      <c r="B1638" t="s">
        <v>2016</v>
      </c>
      <c r="C1638" t="s">
        <v>58</v>
      </c>
      <c r="D1638" t="s">
        <v>2058</v>
      </c>
      <c r="E1638" t="s">
        <v>47</v>
      </c>
      <c r="F1638" t="s">
        <v>123</v>
      </c>
      <c r="G1638" s="1">
        <f>45939</f>
        <v>45939</v>
      </c>
      <c r="H1638" t="s">
        <v>56</v>
      </c>
      <c r="I1638" s="2">
        <v>976.6</v>
      </c>
      <c r="J1638" s="2">
        <v>676</v>
      </c>
      <c r="K1638" s="2">
        <v>300.60000000000002</v>
      </c>
      <c r="L1638" s="2">
        <v>30.78</v>
      </c>
      <c r="M1638" s="2">
        <v>976.6</v>
      </c>
      <c r="N1638" s="2">
        <v>676</v>
      </c>
      <c r="O1638" s="2">
        <v>290.60000000000002</v>
      </c>
      <c r="P1638" s="2">
        <v>30.78</v>
      </c>
    </row>
    <row r="1639" spans="1:16" x14ac:dyDescent="0.25">
      <c r="A1639" t="s">
        <v>15</v>
      </c>
      <c r="B1639" t="s">
        <v>2016</v>
      </c>
      <c r="C1639" t="s">
        <v>58</v>
      </c>
      <c r="D1639" t="s">
        <v>2059</v>
      </c>
      <c r="E1639" t="s">
        <v>19</v>
      </c>
      <c r="F1639" t="s">
        <v>408</v>
      </c>
      <c r="G1639" s="1">
        <f>45939</f>
        <v>45939</v>
      </c>
      <c r="H1639" t="s">
        <v>56</v>
      </c>
      <c r="I1639" s="2">
        <v>40</v>
      </c>
      <c r="J1639" s="2">
        <v>20.2</v>
      </c>
      <c r="K1639" s="2">
        <v>19.8</v>
      </c>
      <c r="L1639" s="2">
        <v>49.5</v>
      </c>
      <c r="M1639" s="2">
        <v>40</v>
      </c>
      <c r="N1639" s="2">
        <v>20.2</v>
      </c>
      <c r="O1639" s="2">
        <v>19.8</v>
      </c>
      <c r="P1639" s="2">
        <v>49.5</v>
      </c>
    </row>
    <row r="1640" spans="1:16" x14ac:dyDescent="0.25">
      <c r="A1640" t="s">
        <v>15</v>
      </c>
      <c r="B1640" t="s">
        <v>2016</v>
      </c>
      <c r="C1640" t="s">
        <v>58</v>
      </c>
      <c r="D1640" t="s">
        <v>2060</v>
      </c>
      <c r="E1640" t="s">
        <v>19</v>
      </c>
      <c r="F1640" t="s">
        <v>465</v>
      </c>
      <c r="G1640" s="1">
        <f>45939</f>
        <v>45939</v>
      </c>
      <c r="H1640" t="s">
        <v>1755</v>
      </c>
      <c r="I1640" s="2">
        <v>890</v>
      </c>
      <c r="J1640" s="2">
        <v>533.95000000000005</v>
      </c>
      <c r="K1640" s="2">
        <v>356.05</v>
      </c>
      <c r="L1640" s="2">
        <v>40.01</v>
      </c>
      <c r="M1640" s="2">
        <v>890</v>
      </c>
      <c r="N1640" s="2">
        <v>533.91</v>
      </c>
      <c r="O1640" s="2">
        <v>341.89</v>
      </c>
      <c r="P1640" s="2">
        <v>40.01</v>
      </c>
    </row>
    <row r="1641" spans="1:16" x14ac:dyDescent="0.25">
      <c r="A1641" t="s">
        <v>15</v>
      </c>
      <c r="B1641" t="s">
        <v>2016</v>
      </c>
      <c r="C1641" t="s">
        <v>58</v>
      </c>
      <c r="D1641" t="s">
        <v>2061</v>
      </c>
      <c r="E1641" t="s">
        <v>19</v>
      </c>
      <c r="F1641" t="s">
        <v>86</v>
      </c>
      <c r="G1641" s="1">
        <f>45943</f>
        <v>45943</v>
      </c>
      <c r="H1641" t="s">
        <v>1755</v>
      </c>
      <c r="I1641" s="2">
        <v>306.55</v>
      </c>
      <c r="J1641" s="2">
        <v>190.1</v>
      </c>
      <c r="K1641" s="2">
        <v>116.45</v>
      </c>
      <c r="L1641" s="2">
        <v>37.99</v>
      </c>
      <c r="M1641" s="2">
        <v>306.55</v>
      </c>
      <c r="N1641" s="2">
        <v>190.1</v>
      </c>
      <c r="O1641" s="2">
        <v>103.45</v>
      </c>
      <c r="P1641" s="2">
        <v>37.99</v>
      </c>
    </row>
    <row r="1642" spans="1:16" x14ac:dyDescent="0.25">
      <c r="A1642" t="s">
        <v>15</v>
      </c>
      <c r="B1642" t="s">
        <v>2016</v>
      </c>
      <c r="C1642" t="s">
        <v>58</v>
      </c>
      <c r="D1642" t="s">
        <v>2062</v>
      </c>
      <c r="E1642" t="s">
        <v>19</v>
      </c>
      <c r="F1642" t="s">
        <v>131</v>
      </c>
      <c r="G1642" s="1">
        <f>45944</f>
        <v>45944</v>
      </c>
      <c r="H1642" t="s">
        <v>1755</v>
      </c>
      <c r="I1642" s="2">
        <v>448.58</v>
      </c>
      <c r="J1642" s="2">
        <v>308.79000000000002</v>
      </c>
      <c r="K1642" s="2">
        <v>139.79</v>
      </c>
      <c r="L1642" s="2">
        <v>31.16</v>
      </c>
      <c r="M1642" s="2">
        <v>448.58</v>
      </c>
      <c r="N1642" s="2">
        <v>309.58</v>
      </c>
      <c r="O1642" s="2">
        <v>139</v>
      </c>
      <c r="P1642" s="2">
        <v>30.99</v>
      </c>
    </row>
    <row r="1643" spans="1:16" x14ac:dyDescent="0.25">
      <c r="A1643" t="s">
        <v>15</v>
      </c>
      <c r="B1643" t="s">
        <v>2016</v>
      </c>
      <c r="C1643" t="s">
        <v>58</v>
      </c>
      <c r="D1643" t="s">
        <v>2063</v>
      </c>
      <c r="E1643" t="s">
        <v>19</v>
      </c>
      <c r="F1643" t="s">
        <v>79</v>
      </c>
      <c r="G1643" s="1">
        <f>45945</f>
        <v>45945</v>
      </c>
      <c r="H1643" t="s">
        <v>56</v>
      </c>
      <c r="I1643" s="2">
        <v>1330.8</v>
      </c>
      <c r="J1643" s="2">
        <v>899</v>
      </c>
      <c r="K1643" s="2">
        <v>431.8</v>
      </c>
      <c r="L1643" s="2">
        <v>32.450000000000003</v>
      </c>
      <c r="M1643" s="2">
        <v>1330.8</v>
      </c>
      <c r="N1643" s="2">
        <v>899</v>
      </c>
      <c r="O1643" s="2">
        <v>362.8</v>
      </c>
      <c r="P1643" s="2">
        <v>32.450000000000003</v>
      </c>
    </row>
    <row r="1644" spans="1:16" x14ac:dyDescent="0.25">
      <c r="A1644" t="s">
        <v>15</v>
      </c>
      <c r="B1644" t="s">
        <v>2016</v>
      </c>
      <c r="C1644" t="s">
        <v>58</v>
      </c>
      <c r="D1644" t="s">
        <v>2064</v>
      </c>
      <c r="E1644" t="s">
        <v>47</v>
      </c>
      <c r="F1644" t="s">
        <v>93</v>
      </c>
      <c r="G1644" s="1">
        <f>45945</f>
        <v>45945</v>
      </c>
      <c r="H1644" t="s">
        <v>56</v>
      </c>
      <c r="I1644" s="2">
        <v>2524.8000000000002</v>
      </c>
      <c r="J1644" s="2">
        <v>1355.8</v>
      </c>
      <c r="K1644" s="2">
        <v>1169</v>
      </c>
      <c r="L1644" s="2">
        <v>46.3</v>
      </c>
      <c r="M1644" s="2">
        <v>2524.8000000000002</v>
      </c>
      <c r="N1644" s="2">
        <v>1355.8</v>
      </c>
      <c r="O1644" s="2">
        <v>1072.4000000000001</v>
      </c>
      <c r="P1644" s="2">
        <v>46.3</v>
      </c>
    </row>
    <row r="1645" spans="1:16" x14ac:dyDescent="0.25">
      <c r="A1645" t="s">
        <v>15</v>
      </c>
      <c r="B1645" t="s">
        <v>2016</v>
      </c>
      <c r="C1645" t="s">
        <v>58</v>
      </c>
      <c r="D1645" t="s">
        <v>2065</v>
      </c>
      <c r="E1645" t="s">
        <v>19</v>
      </c>
      <c r="F1645" t="s">
        <v>64</v>
      </c>
      <c r="G1645" s="1">
        <f>45945</f>
        <v>45945</v>
      </c>
      <c r="H1645" t="s">
        <v>56</v>
      </c>
      <c r="I1645" s="2">
        <v>408</v>
      </c>
      <c r="J1645" s="2">
        <v>284.83999999999997</v>
      </c>
      <c r="K1645" s="2">
        <v>123.16</v>
      </c>
      <c r="L1645" s="2">
        <v>30.19</v>
      </c>
      <c r="M1645" s="2">
        <v>408</v>
      </c>
      <c r="N1645" s="2">
        <v>280.12</v>
      </c>
      <c r="O1645" s="2">
        <v>123.88</v>
      </c>
      <c r="P1645" s="2">
        <v>31.34</v>
      </c>
    </row>
    <row r="1646" spans="1:16" x14ac:dyDescent="0.25">
      <c r="A1646" t="s">
        <v>15</v>
      </c>
      <c r="B1646" t="s">
        <v>2016</v>
      </c>
      <c r="C1646" t="s">
        <v>58</v>
      </c>
      <c r="D1646" t="s">
        <v>2066</v>
      </c>
      <c r="E1646" t="s">
        <v>47</v>
      </c>
      <c r="F1646" t="s">
        <v>713</v>
      </c>
      <c r="G1646" s="1">
        <f>45946</f>
        <v>45946</v>
      </c>
      <c r="H1646" t="s">
        <v>56</v>
      </c>
      <c r="I1646" s="2">
        <v>320.39999999999998</v>
      </c>
      <c r="J1646" s="2">
        <v>230.66</v>
      </c>
      <c r="K1646" s="2">
        <v>89.74</v>
      </c>
      <c r="L1646" s="2">
        <v>28.01</v>
      </c>
      <c r="M1646" s="2">
        <v>320.39999999999998</v>
      </c>
      <c r="N1646" s="2">
        <v>230.66</v>
      </c>
      <c r="O1646" s="2">
        <v>47.24</v>
      </c>
      <c r="P1646" s="2">
        <v>28.01</v>
      </c>
    </row>
    <row r="1647" spans="1:16" x14ac:dyDescent="0.25">
      <c r="A1647" t="s">
        <v>15</v>
      </c>
      <c r="B1647" t="s">
        <v>2016</v>
      </c>
      <c r="C1647" t="s">
        <v>58</v>
      </c>
      <c r="D1647" t="s">
        <v>2067</v>
      </c>
      <c r="E1647" t="s">
        <v>47</v>
      </c>
      <c r="F1647" t="s">
        <v>1564</v>
      </c>
      <c r="G1647" s="1">
        <f>45950</f>
        <v>45950</v>
      </c>
      <c r="H1647" t="s">
        <v>56</v>
      </c>
      <c r="I1647" s="2">
        <v>0</v>
      </c>
      <c r="J1647" s="2">
        <v>0</v>
      </c>
      <c r="K1647" s="2">
        <v>0</v>
      </c>
      <c r="L1647" s="2">
        <v>0</v>
      </c>
      <c r="M1647" s="2">
        <v>2231</v>
      </c>
      <c r="N1647" s="2">
        <v>1940</v>
      </c>
      <c r="O1647" s="2">
        <v>291</v>
      </c>
      <c r="P1647" s="2">
        <v>13.04</v>
      </c>
    </row>
    <row r="1648" spans="1:16" x14ac:dyDescent="0.25">
      <c r="A1648" t="s">
        <v>15</v>
      </c>
      <c r="B1648" t="s">
        <v>2016</v>
      </c>
      <c r="C1648" t="s">
        <v>58</v>
      </c>
      <c r="D1648" t="s">
        <v>2068</v>
      </c>
      <c r="E1648" t="s">
        <v>47</v>
      </c>
      <c r="F1648" t="s">
        <v>64</v>
      </c>
      <c r="G1648" s="1">
        <f>45950</f>
        <v>45950</v>
      </c>
      <c r="H1648" t="s">
        <v>56</v>
      </c>
      <c r="I1648" s="2">
        <v>6951.2</v>
      </c>
      <c r="J1648" s="2">
        <v>4238.59</v>
      </c>
      <c r="K1648" s="2">
        <v>2712.61</v>
      </c>
      <c r="L1648" s="2">
        <v>39.020000000000003</v>
      </c>
      <c r="M1648" s="2">
        <v>0</v>
      </c>
      <c r="N1648" s="2">
        <v>0</v>
      </c>
      <c r="O1648" s="2">
        <v>0</v>
      </c>
      <c r="P1648" s="2">
        <v>0</v>
      </c>
    </row>
    <row r="1649" spans="1:16" x14ac:dyDescent="0.25">
      <c r="A1649" t="s">
        <v>15</v>
      </c>
      <c r="B1649" t="s">
        <v>2016</v>
      </c>
      <c r="C1649" t="s">
        <v>58</v>
      </c>
      <c r="D1649" t="s">
        <v>2069</v>
      </c>
      <c r="E1649" t="s">
        <v>19</v>
      </c>
      <c r="F1649" t="s">
        <v>450</v>
      </c>
      <c r="G1649" s="1">
        <f>45951</f>
        <v>45951</v>
      </c>
      <c r="H1649" t="s">
        <v>1755</v>
      </c>
      <c r="I1649" s="2">
        <v>8689.7000000000007</v>
      </c>
      <c r="J1649" s="2">
        <v>6254.74</v>
      </c>
      <c r="K1649" s="2">
        <v>2434.96</v>
      </c>
      <c r="L1649" s="2">
        <v>28.02</v>
      </c>
      <c r="M1649" s="2">
        <v>8689.7000000000007</v>
      </c>
      <c r="N1649" s="2">
        <v>6254.74</v>
      </c>
      <c r="O1649" s="2">
        <v>2355.46</v>
      </c>
      <c r="P1649" s="2">
        <v>28.02</v>
      </c>
    </row>
    <row r="1650" spans="1:16" x14ac:dyDescent="0.25">
      <c r="A1650" t="s">
        <v>15</v>
      </c>
      <c r="B1650" t="s">
        <v>2016</v>
      </c>
      <c r="C1650" t="s">
        <v>58</v>
      </c>
      <c r="D1650" t="s">
        <v>2070</v>
      </c>
      <c r="E1650" t="s">
        <v>47</v>
      </c>
      <c r="F1650" t="s">
        <v>69</v>
      </c>
      <c r="G1650" s="1">
        <f>45953</f>
        <v>45953</v>
      </c>
      <c r="H1650" t="s">
        <v>70</v>
      </c>
      <c r="I1650" s="2">
        <v>0</v>
      </c>
      <c r="J1650" s="2">
        <v>0</v>
      </c>
      <c r="K1650" s="2">
        <v>0</v>
      </c>
      <c r="L1650" s="2">
        <v>0</v>
      </c>
      <c r="M1650" s="2">
        <v>4.24</v>
      </c>
      <c r="N1650" s="2">
        <v>3.62</v>
      </c>
      <c r="O1650" s="2">
        <v>0.62</v>
      </c>
      <c r="P1650" s="2">
        <v>14.72</v>
      </c>
    </row>
    <row r="1651" spans="1:16" x14ac:dyDescent="0.25">
      <c r="A1651" t="s">
        <v>15</v>
      </c>
      <c r="B1651" t="s">
        <v>2016</v>
      </c>
      <c r="C1651" t="s">
        <v>58</v>
      </c>
      <c r="D1651" t="s">
        <v>2071</v>
      </c>
      <c r="E1651" t="s">
        <v>47</v>
      </c>
      <c r="F1651" t="s">
        <v>713</v>
      </c>
      <c r="G1651" s="1">
        <f>45957</f>
        <v>45957</v>
      </c>
      <c r="H1651" t="s">
        <v>56</v>
      </c>
      <c r="I1651" s="2">
        <v>854</v>
      </c>
      <c r="J1651" s="2">
        <v>587.23</v>
      </c>
      <c r="K1651" s="2">
        <v>266.77</v>
      </c>
      <c r="L1651" s="2">
        <v>31.24</v>
      </c>
      <c r="M1651" s="2">
        <v>854</v>
      </c>
      <c r="N1651" s="2">
        <v>587.23</v>
      </c>
      <c r="O1651" s="2">
        <v>245.27</v>
      </c>
      <c r="P1651" s="2">
        <v>31.24</v>
      </c>
    </row>
    <row r="1652" spans="1:16" x14ac:dyDescent="0.25">
      <c r="A1652" t="s">
        <v>15</v>
      </c>
      <c r="B1652" t="s">
        <v>2016</v>
      </c>
      <c r="C1652" t="s">
        <v>58</v>
      </c>
      <c r="D1652" t="s">
        <v>2072</v>
      </c>
      <c r="E1652" t="s">
        <v>19</v>
      </c>
      <c r="F1652" t="s">
        <v>724</v>
      </c>
      <c r="G1652" s="1">
        <f>45957</f>
        <v>45957</v>
      </c>
      <c r="H1652" t="s">
        <v>56</v>
      </c>
      <c r="I1652" s="2">
        <v>379.5</v>
      </c>
      <c r="J1652" s="2">
        <v>197</v>
      </c>
      <c r="K1652" s="2">
        <v>182.5</v>
      </c>
      <c r="L1652" s="2">
        <v>48.09</v>
      </c>
      <c r="M1652" s="2">
        <v>379.5</v>
      </c>
      <c r="N1652" s="2">
        <v>197</v>
      </c>
      <c r="O1652" s="2">
        <v>110.5</v>
      </c>
      <c r="P1652" s="2">
        <v>48.09</v>
      </c>
    </row>
    <row r="1653" spans="1:16" x14ac:dyDescent="0.25">
      <c r="A1653" t="s">
        <v>15</v>
      </c>
      <c r="B1653" t="s">
        <v>2016</v>
      </c>
      <c r="C1653" t="s">
        <v>58</v>
      </c>
      <c r="D1653" t="s">
        <v>2073</v>
      </c>
      <c r="E1653" t="s">
        <v>47</v>
      </c>
      <c r="F1653" t="s">
        <v>64</v>
      </c>
      <c r="G1653" s="1">
        <f>45957</f>
        <v>45957</v>
      </c>
      <c r="H1653" t="s">
        <v>56</v>
      </c>
      <c r="I1653" s="2">
        <v>2311.5</v>
      </c>
      <c r="J1653" s="2">
        <v>1600</v>
      </c>
      <c r="K1653" s="2">
        <v>711.5</v>
      </c>
      <c r="L1653" s="2">
        <v>30.78</v>
      </c>
      <c r="M1653" s="2">
        <v>0</v>
      </c>
      <c r="N1653" s="2">
        <v>0</v>
      </c>
      <c r="O1653" s="2">
        <v>0</v>
      </c>
      <c r="P1653" s="2">
        <v>0</v>
      </c>
    </row>
    <row r="1654" spans="1:16" x14ac:dyDescent="0.25">
      <c r="A1654" t="s">
        <v>15</v>
      </c>
      <c r="B1654" t="s">
        <v>2016</v>
      </c>
      <c r="C1654" t="s">
        <v>58</v>
      </c>
      <c r="D1654" t="s">
        <v>2074</v>
      </c>
      <c r="E1654" t="s">
        <v>19</v>
      </c>
      <c r="F1654" t="s">
        <v>64</v>
      </c>
      <c r="G1654" s="1">
        <f>45957</f>
        <v>45957</v>
      </c>
      <c r="H1654" t="s">
        <v>56</v>
      </c>
      <c r="I1654" s="2">
        <v>5326.8</v>
      </c>
      <c r="J1654" s="2">
        <v>3614.89</v>
      </c>
      <c r="K1654" s="2">
        <v>1711.91</v>
      </c>
      <c r="L1654" s="2">
        <v>32.14</v>
      </c>
      <c r="M1654" s="2">
        <v>5326.8</v>
      </c>
      <c r="N1654" s="2">
        <v>3584.69</v>
      </c>
      <c r="O1654" s="2">
        <v>1450.11</v>
      </c>
      <c r="P1654" s="2">
        <v>32.700000000000003</v>
      </c>
    </row>
    <row r="1655" spans="1:16" x14ac:dyDescent="0.25">
      <c r="A1655" t="s">
        <v>15</v>
      </c>
      <c r="B1655" t="s">
        <v>2016</v>
      </c>
      <c r="C1655" t="s">
        <v>58</v>
      </c>
      <c r="D1655" t="s">
        <v>2075</v>
      </c>
      <c r="E1655" t="s">
        <v>47</v>
      </c>
      <c r="F1655" t="s">
        <v>1338</v>
      </c>
      <c r="G1655" s="1">
        <f>45957</f>
        <v>45957</v>
      </c>
      <c r="H1655" t="s">
        <v>56</v>
      </c>
      <c r="I1655" s="2">
        <v>951</v>
      </c>
      <c r="J1655" s="2">
        <v>624</v>
      </c>
      <c r="K1655" s="2">
        <v>327</v>
      </c>
      <c r="L1655" s="2">
        <v>34.380000000000003</v>
      </c>
      <c r="M1655" s="2">
        <v>0</v>
      </c>
      <c r="N1655" s="2">
        <v>0</v>
      </c>
      <c r="O1655" s="2">
        <v>0</v>
      </c>
      <c r="P1655" s="2">
        <v>0</v>
      </c>
    </row>
    <row r="1656" spans="1:16" x14ac:dyDescent="0.25">
      <c r="A1656" t="s">
        <v>15</v>
      </c>
      <c r="B1656" t="s">
        <v>2016</v>
      </c>
      <c r="C1656" t="s">
        <v>58</v>
      </c>
      <c r="D1656" t="s">
        <v>2076</v>
      </c>
      <c r="E1656" t="s">
        <v>19</v>
      </c>
      <c r="F1656" t="s">
        <v>131</v>
      </c>
      <c r="G1656" s="1">
        <f>45959</f>
        <v>45959</v>
      </c>
      <c r="H1656" t="s">
        <v>1755</v>
      </c>
      <c r="I1656" s="2">
        <v>1862.82</v>
      </c>
      <c r="J1656" s="2">
        <v>1173.3699999999999</v>
      </c>
      <c r="K1656" s="2">
        <v>689.45</v>
      </c>
      <c r="L1656" s="2">
        <v>37.01</v>
      </c>
      <c r="M1656" s="2">
        <v>1862.82</v>
      </c>
      <c r="N1656" s="2">
        <v>1178.3</v>
      </c>
      <c r="O1656" s="2">
        <v>684.52</v>
      </c>
      <c r="P1656" s="2">
        <v>36.75</v>
      </c>
    </row>
    <row r="1657" spans="1:16" x14ac:dyDescent="0.25">
      <c r="A1657" t="s">
        <v>15</v>
      </c>
      <c r="B1657" t="s">
        <v>2016</v>
      </c>
      <c r="C1657" t="s">
        <v>58</v>
      </c>
      <c r="D1657" t="s">
        <v>2077</v>
      </c>
      <c r="E1657" t="s">
        <v>19</v>
      </c>
      <c r="F1657" t="s">
        <v>64</v>
      </c>
      <c r="G1657" s="1">
        <f>45960</f>
        <v>45960</v>
      </c>
      <c r="H1657" t="s">
        <v>56</v>
      </c>
      <c r="I1657" s="2">
        <v>1019.5</v>
      </c>
      <c r="J1657" s="2">
        <v>685.53</v>
      </c>
      <c r="K1657" s="2">
        <v>333.97</v>
      </c>
      <c r="L1657" s="2">
        <v>32.76</v>
      </c>
      <c r="M1657" s="2">
        <v>1019.5</v>
      </c>
      <c r="N1657" s="2">
        <v>685.53</v>
      </c>
      <c r="O1657" s="2">
        <v>333.97</v>
      </c>
      <c r="P1657" s="2">
        <v>32.76</v>
      </c>
    </row>
    <row r="1658" spans="1:16" x14ac:dyDescent="0.25">
      <c r="A1658" t="s">
        <v>15</v>
      </c>
      <c r="B1658" t="s">
        <v>2016</v>
      </c>
      <c r="C1658" t="s">
        <v>58</v>
      </c>
      <c r="D1658" t="s">
        <v>2078</v>
      </c>
      <c r="E1658" t="s">
        <v>19</v>
      </c>
      <c r="F1658" t="s">
        <v>1347</v>
      </c>
      <c r="G1658" s="1">
        <f>45960</f>
        <v>45960</v>
      </c>
      <c r="H1658" t="s">
        <v>56</v>
      </c>
      <c r="I1658" s="2">
        <v>311.86</v>
      </c>
      <c r="J1658" s="2">
        <v>212.3</v>
      </c>
      <c r="K1658" s="2">
        <v>99.56</v>
      </c>
      <c r="L1658" s="2">
        <v>31.92</v>
      </c>
      <c r="M1658" s="2">
        <v>311.86</v>
      </c>
      <c r="N1658" s="2">
        <v>212.3</v>
      </c>
      <c r="O1658" s="2">
        <v>70.56</v>
      </c>
      <c r="P1658" s="2">
        <v>31.92</v>
      </c>
    </row>
    <row r="1659" spans="1:16" x14ac:dyDescent="0.25">
      <c r="A1659" t="s">
        <v>15</v>
      </c>
      <c r="B1659" t="s">
        <v>2016</v>
      </c>
      <c r="C1659" t="s">
        <v>58</v>
      </c>
      <c r="D1659" t="s">
        <v>2079</v>
      </c>
      <c r="E1659" t="s">
        <v>19</v>
      </c>
      <c r="F1659" t="s">
        <v>129</v>
      </c>
      <c r="G1659" s="1">
        <f>45960</f>
        <v>45960</v>
      </c>
      <c r="H1659" t="s">
        <v>56</v>
      </c>
      <c r="I1659" s="2">
        <v>3080.1</v>
      </c>
      <c r="J1659" s="2">
        <v>2162.5</v>
      </c>
      <c r="K1659" s="2">
        <v>917.6</v>
      </c>
      <c r="L1659" s="2">
        <v>29.79</v>
      </c>
      <c r="M1659" s="2">
        <v>3080.1</v>
      </c>
      <c r="N1659" s="2">
        <v>2162.5</v>
      </c>
      <c r="O1659" s="2">
        <v>907.6</v>
      </c>
      <c r="P1659" s="2">
        <v>29.79</v>
      </c>
    </row>
    <row r="1660" spans="1:16" x14ac:dyDescent="0.25">
      <c r="A1660" t="s">
        <v>15</v>
      </c>
      <c r="B1660" t="s">
        <v>2016</v>
      </c>
      <c r="C1660" t="s">
        <v>58</v>
      </c>
      <c r="D1660" t="s">
        <v>2080</v>
      </c>
      <c r="E1660" t="s">
        <v>47</v>
      </c>
      <c r="F1660" t="s">
        <v>67</v>
      </c>
      <c r="G1660" s="1">
        <f>45960</f>
        <v>45960</v>
      </c>
      <c r="H1660" t="s">
        <v>56</v>
      </c>
      <c r="I1660" s="2">
        <v>162.65</v>
      </c>
      <c r="J1660" s="2">
        <v>93.64</v>
      </c>
      <c r="K1660" s="2">
        <v>69.010000000000005</v>
      </c>
      <c r="L1660" s="2">
        <v>42.43</v>
      </c>
      <c r="M1660" s="2">
        <v>162.65</v>
      </c>
      <c r="N1660" s="2">
        <v>93.64</v>
      </c>
      <c r="O1660" s="2">
        <v>60.01</v>
      </c>
      <c r="P1660" s="2">
        <v>42.43</v>
      </c>
    </row>
    <row r="1661" spans="1:16" x14ac:dyDescent="0.25">
      <c r="A1661" t="s">
        <v>15</v>
      </c>
      <c r="B1661" t="s">
        <v>2016</v>
      </c>
      <c r="C1661" t="s">
        <v>58</v>
      </c>
      <c r="D1661" t="s">
        <v>2081</v>
      </c>
      <c r="E1661" t="s">
        <v>19</v>
      </c>
      <c r="F1661" t="s">
        <v>408</v>
      </c>
      <c r="G1661" s="1">
        <f>45960</f>
        <v>45960</v>
      </c>
      <c r="H1661" t="s">
        <v>56</v>
      </c>
      <c r="I1661" s="2">
        <v>318.60000000000002</v>
      </c>
      <c r="J1661" s="2">
        <v>222.48</v>
      </c>
      <c r="K1661" s="2">
        <v>96.12</v>
      </c>
      <c r="L1661" s="2">
        <v>30.17</v>
      </c>
      <c r="M1661" s="2">
        <v>318.60000000000002</v>
      </c>
      <c r="N1661" s="2">
        <v>222.48</v>
      </c>
      <c r="O1661" s="2">
        <v>89.64</v>
      </c>
      <c r="P1661" s="2">
        <v>30.17</v>
      </c>
    </row>
    <row r="1662" spans="1:16" x14ac:dyDescent="0.25">
      <c r="A1662" t="s">
        <v>15</v>
      </c>
      <c r="B1662" t="s">
        <v>2016</v>
      </c>
      <c r="C1662" t="s">
        <v>58</v>
      </c>
      <c r="D1662" t="s">
        <v>2082</v>
      </c>
      <c r="E1662" t="s">
        <v>47</v>
      </c>
      <c r="F1662" t="s">
        <v>465</v>
      </c>
      <c r="G1662" s="1">
        <f>45961</f>
        <v>45961</v>
      </c>
      <c r="H1662" t="s">
        <v>1755</v>
      </c>
      <c r="I1662" s="2">
        <v>4078.21</v>
      </c>
      <c r="J1662" s="2">
        <v>2671.22</v>
      </c>
      <c r="K1662" s="2">
        <v>1406.99</v>
      </c>
      <c r="L1662" s="2">
        <v>34.5</v>
      </c>
      <c r="M1662" s="2">
        <v>4078.21</v>
      </c>
      <c r="N1662" s="2">
        <v>2671.22</v>
      </c>
      <c r="O1662" s="2">
        <v>1385.6</v>
      </c>
      <c r="P1662" s="2">
        <v>34.5</v>
      </c>
    </row>
    <row r="1663" spans="1:16" x14ac:dyDescent="0.25">
      <c r="A1663" t="s">
        <v>15</v>
      </c>
      <c r="B1663" t="s">
        <v>2016</v>
      </c>
      <c r="C1663" t="s">
        <v>58</v>
      </c>
      <c r="D1663" t="s">
        <v>2083</v>
      </c>
      <c r="E1663" t="s">
        <v>47</v>
      </c>
      <c r="F1663" t="s">
        <v>702</v>
      </c>
      <c r="G1663" s="1">
        <f>45961</f>
        <v>45961</v>
      </c>
      <c r="H1663" t="s">
        <v>56</v>
      </c>
      <c r="I1663" s="2">
        <v>671</v>
      </c>
      <c r="J1663" s="2">
        <v>424.6</v>
      </c>
      <c r="K1663" s="2">
        <v>246.4</v>
      </c>
      <c r="L1663" s="2">
        <v>36.72</v>
      </c>
      <c r="M1663" s="2">
        <v>671</v>
      </c>
      <c r="N1663" s="2">
        <v>424.6</v>
      </c>
      <c r="O1663" s="2">
        <v>206.4</v>
      </c>
      <c r="P1663" s="2">
        <v>36.72</v>
      </c>
    </row>
    <row r="1664" spans="1:16" x14ac:dyDescent="0.25">
      <c r="A1664" t="s">
        <v>15</v>
      </c>
      <c r="B1664" t="s">
        <v>2016</v>
      </c>
      <c r="C1664" t="s">
        <v>58</v>
      </c>
      <c r="D1664" t="s">
        <v>2084</v>
      </c>
      <c r="E1664" t="s">
        <v>47</v>
      </c>
      <c r="F1664" t="s">
        <v>1195</v>
      </c>
      <c r="G1664" s="1">
        <f>45940</f>
        <v>45940</v>
      </c>
      <c r="H1664" t="s">
        <v>56</v>
      </c>
      <c r="I1664" s="2">
        <v>795.5</v>
      </c>
      <c r="J1664" s="2">
        <v>519.5</v>
      </c>
      <c r="K1664" s="2">
        <v>276</v>
      </c>
      <c r="L1664" s="2">
        <v>34.700000000000003</v>
      </c>
      <c r="M1664" s="2">
        <v>795.5</v>
      </c>
      <c r="N1664" s="2">
        <v>519.5</v>
      </c>
      <c r="O1664" s="2">
        <v>237.56</v>
      </c>
      <c r="P1664" s="2">
        <v>34.700000000000003</v>
      </c>
    </row>
    <row r="1665" spans="1:16" x14ac:dyDescent="0.25">
      <c r="A1665" t="s">
        <v>15</v>
      </c>
      <c r="B1665" t="s">
        <v>2016</v>
      </c>
      <c r="C1665" t="s">
        <v>58</v>
      </c>
      <c r="D1665" t="s">
        <v>2085</v>
      </c>
      <c r="E1665" t="s">
        <v>47</v>
      </c>
      <c r="F1665" t="s">
        <v>1564</v>
      </c>
      <c r="G1665" s="1">
        <f>45957</f>
        <v>45957</v>
      </c>
      <c r="H1665" t="s">
        <v>56</v>
      </c>
      <c r="I1665" s="2">
        <v>152</v>
      </c>
      <c r="J1665" s="2">
        <v>128</v>
      </c>
      <c r="K1665" s="2">
        <v>24</v>
      </c>
      <c r="L1665" s="2">
        <v>15.79</v>
      </c>
      <c r="M1665" s="2">
        <v>152</v>
      </c>
      <c r="N1665" s="2">
        <v>128</v>
      </c>
      <c r="O1665" s="2">
        <v>24</v>
      </c>
      <c r="P1665" s="2">
        <v>15.79</v>
      </c>
    </row>
    <row r="1666" spans="1:16" x14ac:dyDescent="0.25">
      <c r="A1666" t="s">
        <v>15</v>
      </c>
      <c r="B1666" t="s">
        <v>2016</v>
      </c>
      <c r="C1666" t="s">
        <v>58</v>
      </c>
      <c r="D1666" t="s">
        <v>2086</v>
      </c>
      <c r="E1666" t="s">
        <v>19</v>
      </c>
      <c r="F1666" t="s">
        <v>2087</v>
      </c>
      <c r="G1666" s="1">
        <f>45933</f>
        <v>45933</v>
      </c>
      <c r="H1666" t="s">
        <v>56</v>
      </c>
      <c r="I1666" s="2">
        <v>4422.3</v>
      </c>
      <c r="J1666" s="2">
        <v>2579.88</v>
      </c>
      <c r="K1666" s="2">
        <v>1842.42</v>
      </c>
      <c r="L1666" s="2">
        <v>41.66</v>
      </c>
      <c r="M1666" s="2">
        <v>4422.3</v>
      </c>
      <c r="N1666" s="2">
        <v>2981.38</v>
      </c>
      <c r="O1666" s="2">
        <v>1405.92</v>
      </c>
      <c r="P1666" s="2">
        <v>32.58</v>
      </c>
    </row>
    <row r="1667" spans="1:16" x14ac:dyDescent="0.25">
      <c r="A1667" t="s">
        <v>15</v>
      </c>
      <c r="B1667" t="s">
        <v>2016</v>
      </c>
      <c r="C1667" t="s">
        <v>187</v>
      </c>
      <c r="D1667" t="s">
        <v>2088</v>
      </c>
      <c r="E1667" t="s">
        <v>47</v>
      </c>
      <c r="F1667" t="s">
        <v>191</v>
      </c>
      <c r="G1667" s="1">
        <f>45947</f>
        <v>45947</v>
      </c>
      <c r="H1667" t="s">
        <v>1755</v>
      </c>
      <c r="I1667" s="2">
        <v>4032</v>
      </c>
      <c r="J1667" s="2">
        <v>2418.04</v>
      </c>
      <c r="K1667" s="2">
        <v>1613.96</v>
      </c>
      <c r="L1667" s="2">
        <v>40.03</v>
      </c>
      <c r="M1667" s="2">
        <v>4032</v>
      </c>
      <c r="N1667" s="2">
        <v>2418.04</v>
      </c>
      <c r="O1667" s="2">
        <v>995.96</v>
      </c>
      <c r="P1667" s="2">
        <v>40.03</v>
      </c>
    </row>
    <row r="1668" spans="1:16" x14ac:dyDescent="0.25">
      <c r="A1668" t="s">
        <v>15</v>
      </c>
      <c r="B1668" t="s">
        <v>2016</v>
      </c>
      <c r="C1668" t="s">
        <v>187</v>
      </c>
      <c r="D1668" t="s">
        <v>2089</v>
      </c>
      <c r="E1668" t="s">
        <v>47</v>
      </c>
      <c r="F1668" t="s">
        <v>1018</v>
      </c>
      <c r="G1668" s="1">
        <f>45951</f>
        <v>45951</v>
      </c>
      <c r="H1668" t="s">
        <v>1755</v>
      </c>
      <c r="I1668" s="2">
        <v>9890.6</v>
      </c>
      <c r="J1668" s="2">
        <v>6712.08</v>
      </c>
      <c r="K1668" s="2">
        <v>3178.52</v>
      </c>
      <c r="L1668" s="2">
        <v>32.14</v>
      </c>
      <c r="M1668" s="2">
        <v>0</v>
      </c>
      <c r="N1668" s="2">
        <v>5228.28</v>
      </c>
      <c r="O1668" s="2">
        <v>0</v>
      </c>
      <c r="P1668" s="2">
        <v>0</v>
      </c>
    </row>
    <row r="1669" spans="1:16" x14ac:dyDescent="0.25">
      <c r="A1669" t="s">
        <v>15</v>
      </c>
      <c r="B1669" t="s">
        <v>2016</v>
      </c>
      <c r="C1669" t="s">
        <v>187</v>
      </c>
      <c r="D1669" t="s">
        <v>2090</v>
      </c>
      <c r="E1669" t="s">
        <v>47</v>
      </c>
      <c r="F1669" t="s">
        <v>189</v>
      </c>
      <c r="G1669" s="1">
        <f>45931</f>
        <v>45931</v>
      </c>
      <c r="H1669" t="s">
        <v>51</v>
      </c>
      <c r="I1669" s="2">
        <v>489.4</v>
      </c>
      <c r="J1669" s="2">
        <v>289</v>
      </c>
      <c r="K1669" s="2">
        <v>200.4</v>
      </c>
      <c r="L1669" s="2">
        <v>40.950000000000003</v>
      </c>
      <c r="M1669" s="2">
        <v>489.4</v>
      </c>
      <c r="N1669" s="2">
        <v>289</v>
      </c>
      <c r="O1669" s="2">
        <v>156.4</v>
      </c>
      <c r="P1669" s="2">
        <v>40.950000000000003</v>
      </c>
    </row>
    <row r="1670" spans="1:16" x14ac:dyDescent="0.25">
      <c r="A1670" t="s">
        <v>15</v>
      </c>
      <c r="B1670" t="s">
        <v>2016</v>
      </c>
      <c r="C1670" t="s">
        <v>187</v>
      </c>
      <c r="D1670" t="s">
        <v>2091</v>
      </c>
      <c r="E1670" t="s">
        <v>47</v>
      </c>
      <c r="F1670" t="s">
        <v>213</v>
      </c>
      <c r="G1670" s="1">
        <f>45931</f>
        <v>45931</v>
      </c>
      <c r="H1670" t="s">
        <v>51</v>
      </c>
      <c r="I1670" s="2">
        <v>221.4</v>
      </c>
      <c r="J1670" s="2">
        <v>118</v>
      </c>
      <c r="K1670" s="2">
        <v>103.4</v>
      </c>
      <c r="L1670" s="2">
        <v>46.7</v>
      </c>
      <c r="M1670" s="2">
        <v>221.4</v>
      </c>
      <c r="N1670" s="2">
        <v>118</v>
      </c>
      <c r="O1670" s="2">
        <v>93.4</v>
      </c>
      <c r="P1670" s="2">
        <v>46.7</v>
      </c>
    </row>
    <row r="1671" spans="1:16" x14ac:dyDescent="0.25">
      <c r="A1671" t="s">
        <v>15</v>
      </c>
      <c r="B1671" t="s">
        <v>2016</v>
      </c>
      <c r="C1671" t="s">
        <v>187</v>
      </c>
      <c r="D1671" t="s">
        <v>2092</v>
      </c>
      <c r="E1671" t="s">
        <v>47</v>
      </c>
      <c r="F1671" t="s">
        <v>217</v>
      </c>
      <c r="G1671" s="1">
        <f>45932</f>
        <v>45932</v>
      </c>
      <c r="H1671" t="s">
        <v>1755</v>
      </c>
      <c r="I1671" s="2">
        <v>9405</v>
      </c>
      <c r="J1671" s="2">
        <v>6641.39</v>
      </c>
      <c r="K1671" s="2">
        <v>2763.61</v>
      </c>
      <c r="L1671" s="2">
        <v>29.38</v>
      </c>
      <c r="M1671" s="2">
        <v>0</v>
      </c>
      <c r="N1671" s="2">
        <v>6570.39</v>
      </c>
      <c r="O1671" s="2">
        <v>0</v>
      </c>
      <c r="P1671" s="2">
        <v>0</v>
      </c>
    </row>
    <row r="1672" spans="1:16" x14ac:dyDescent="0.25">
      <c r="A1672" t="s">
        <v>15</v>
      </c>
      <c r="B1672" t="s">
        <v>2016</v>
      </c>
      <c r="C1672" t="s">
        <v>187</v>
      </c>
      <c r="D1672" t="s">
        <v>2093</v>
      </c>
      <c r="E1672" t="s">
        <v>19</v>
      </c>
      <c r="F1672" t="s">
        <v>191</v>
      </c>
      <c r="G1672" s="1">
        <f>45932</f>
        <v>45932</v>
      </c>
      <c r="H1672" t="s">
        <v>1755</v>
      </c>
      <c r="I1672" s="2">
        <v>979.8</v>
      </c>
      <c r="J1672" s="2">
        <v>651.41999999999996</v>
      </c>
      <c r="K1672" s="2">
        <v>328.38</v>
      </c>
      <c r="L1672" s="2">
        <v>33.520000000000003</v>
      </c>
      <c r="M1672" s="2">
        <v>979.8</v>
      </c>
      <c r="N1672" s="2">
        <v>651.41999999999996</v>
      </c>
      <c r="O1672" s="2">
        <v>328.38</v>
      </c>
      <c r="P1672" s="2">
        <v>33.520000000000003</v>
      </c>
    </row>
    <row r="1673" spans="1:16" x14ac:dyDescent="0.25">
      <c r="A1673" t="s">
        <v>15</v>
      </c>
      <c r="B1673" t="s">
        <v>2016</v>
      </c>
      <c r="C1673" t="s">
        <v>187</v>
      </c>
      <c r="D1673" t="s">
        <v>2094</v>
      </c>
      <c r="E1673" t="s">
        <v>19</v>
      </c>
      <c r="F1673" t="s">
        <v>204</v>
      </c>
      <c r="G1673" s="1">
        <f>45933</f>
        <v>45933</v>
      </c>
      <c r="H1673" t="s">
        <v>1755</v>
      </c>
      <c r="I1673" s="2">
        <v>151.80000000000001</v>
      </c>
      <c r="J1673" s="2">
        <v>103.7</v>
      </c>
      <c r="K1673" s="2">
        <v>48.1</v>
      </c>
      <c r="L1673" s="2">
        <v>31.69</v>
      </c>
      <c r="M1673" s="2">
        <v>151.80000000000001</v>
      </c>
      <c r="N1673" s="2">
        <v>103.01</v>
      </c>
      <c r="O1673" s="2">
        <v>48.79</v>
      </c>
      <c r="P1673" s="2">
        <v>32.14</v>
      </c>
    </row>
    <row r="1674" spans="1:16" x14ac:dyDescent="0.25">
      <c r="A1674" t="s">
        <v>15</v>
      </c>
      <c r="B1674" t="s">
        <v>2016</v>
      </c>
      <c r="C1674" t="s">
        <v>187</v>
      </c>
      <c r="D1674" t="s">
        <v>2095</v>
      </c>
      <c r="E1674" t="s">
        <v>19</v>
      </c>
      <c r="F1674" t="s">
        <v>219</v>
      </c>
      <c r="G1674" s="1">
        <f>45933</f>
        <v>45933</v>
      </c>
      <c r="H1674" t="s">
        <v>1755</v>
      </c>
      <c r="I1674" s="2">
        <v>247.12</v>
      </c>
      <c r="J1674" s="2">
        <v>174.46</v>
      </c>
      <c r="K1674" s="2">
        <v>72.66</v>
      </c>
      <c r="L1674" s="2">
        <v>29.4</v>
      </c>
      <c r="M1674" s="2">
        <v>247.12</v>
      </c>
      <c r="N1674" s="2">
        <v>172.51</v>
      </c>
      <c r="O1674" s="2">
        <v>65.61</v>
      </c>
      <c r="P1674" s="2">
        <v>30.19</v>
      </c>
    </row>
    <row r="1675" spans="1:16" x14ac:dyDescent="0.25">
      <c r="A1675" t="s">
        <v>15</v>
      </c>
      <c r="B1675" t="s">
        <v>2016</v>
      </c>
      <c r="C1675" t="s">
        <v>187</v>
      </c>
      <c r="D1675" t="s">
        <v>2096</v>
      </c>
      <c r="E1675" t="s">
        <v>19</v>
      </c>
      <c r="F1675" t="s">
        <v>211</v>
      </c>
      <c r="G1675" s="1">
        <f>45933</f>
        <v>45933</v>
      </c>
      <c r="H1675" t="s">
        <v>1755</v>
      </c>
      <c r="I1675" s="2">
        <v>623.6</v>
      </c>
      <c r="J1675" s="2">
        <v>414.4</v>
      </c>
      <c r="K1675" s="2">
        <v>209.2</v>
      </c>
      <c r="L1675" s="2">
        <v>33.549999999999997</v>
      </c>
      <c r="M1675" s="2">
        <v>623.6</v>
      </c>
      <c r="N1675" s="2">
        <v>414.4</v>
      </c>
      <c r="O1675" s="2">
        <v>154.19999999999999</v>
      </c>
      <c r="P1675" s="2">
        <v>33.549999999999997</v>
      </c>
    </row>
    <row r="1676" spans="1:16" x14ac:dyDescent="0.25">
      <c r="A1676" t="s">
        <v>15</v>
      </c>
      <c r="B1676" t="s">
        <v>2016</v>
      </c>
      <c r="C1676" t="s">
        <v>187</v>
      </c>
      <c r="D1676" t="s">
        <v>2097</v>
      </c>
      <c r="E1676" t="s">
        <v>19</v>
      </c>
      <c r="F1676" t="s">
        <v>211</v>
      </c>
      <c r="G1676" s="1">
        <f>45936</f>
        <v>45936</v>
      </c>
      <c r="H1676" t="s">
        <v>1755</v>
      </c>
      <c r="I1676" s="2">
        <v>742.1</v>
      </c>
      <c r="J1676" s="2">
        <v>502.05</v>
      </c>
      <c r="K1676" s="2">
        <v>240.05</v>
      </c>
      <c r="L1676" s="2">
        <v>32.35</v>
      </c>
      <c r="M1676" s="2">
        <v>742.1</v>
      </c>
      <c r="N1676" s="2">
        <v>502.05</v>
      </c>
      <c r="O1676" s="2">
        <v>198.05</v>
      </c>
      <c r="P1676" s="2">
        <v>32.35</v>
      </c>
    </row>
    <row r="1677" spans="1:16" x14ac:dyDescent="0.25">
      <c r="A1677" t="s">
        <v>15</v>
      </c>
      <c r="B1677" t="s">
        <v>2016</v>
      </c>
      <c r="C1677" t="s">
        <v>187</v>
      </c>
      <c r="D1677" t="s">
        <v>2098</v>
      </c>
      <c r="E1677" t="s">
        <v>19</v>
      </c>
      <c r="F1677" t="s">
        <v>196</v>
      </c>
      <c r="G1677" s="1">
        <f>45936</f>
        <v>45936</v>
      </c>
      <c r="H1677" t="s">
        <v>1755</v>
      </c>
      <c r="I1677" s="2">
        <v>6365</v>
      </c>
      <c r="J1677" s="2">
        <v>4373.3</v>
      </c>
      <c r="K1677" s="2">
        <v>1991.7</v>
      </c>
      <c r="L1677" s="2">
        <v>31.29</v>
      </c>
      <c r="M1677" s="2">
        <v>6365</v>
      </c>
      <c r="N1677" s="2">
        <v>4373.3</v>
      </c>
      <c r="O1677" s="2">
        <v>1809.7</v>
      </c>
      <c r="P1677" s="2">
        <v>31.29</v>
      </c>
    </row>
    <row r="1678" spans="1:16" x14ac:dyDescent="0.25">
      <c r="A1678" t="s">
        <v>15</v>
      </c>
      <c r="B1678" t="s">
        <v>2016</v>
      </c>
      <c r="C1678" t="s">
        <v>187</v>
      </c>
      <c r="D1678" t="s">
        <v>2099</v>
      </c>
      <c r="E1678" t="s">
        <v>19</v>
      </c>
      <c r="F1678" t="s">
        <v>213</v>
      </c>
      <c r="G1678" s="1">
        <f>45937</f>
        <v>45937</v>
      </c>
      <c r="H1678" t="s">
        <v>1755</v>
      </c>
      <c r="I1678" s="2">
        <v>1614</v>
      </c>
      <c r="J1678" s="2">
        <v>1064.8</v>
      </c>
      <c r="K1678" s="2">
        <v>549.20000000000005</v>
      </c>
      <c r="L1678" s="2">
        <v>34.03</v>
      </c>
      <c r="M1678" s="2">
        <v>1614</v>
      </c>
      <c r="N1678" s="2">
        <v>1064.8</v>
      </c>
      <c r="O1678" s="2">
        <v>537.20000000000005</v>
      </c>
      <c r="P1678" s="2">
        <v>34.03</v>
      </c>
    </row>
    <row r="1679" spans="1:16" x14ac:dyDescent="0.25">
      <c r="A1679" t="s">
        <v>15</v>
      </c>
      <c r="B1679" t="s">
        <v>2016</v>
      </c>
      <c r="C1679" t="s">
        <v>187</v>
      </c>
      <c r="D1679" t="s">
        <v>2100</v>
      </c>
      <c r="E1679" t="s">
        <v>19</v>
      </c>
      <c r="F1679" t="s">
        <v>191</v>
      </c>
      <c r="G1679" s="1">
        <f>45938</f>
        <v>45938</v>
      </c>
      <c r="H1679" t="s">
        <v>1755</v>
      </c>
      <c r="I1679" s="2">
        <v>695.6</v>
      </c>
      <c r="J1679" s="2">
        <v>467</v>
      </c>
      <c r="K1679" s="2">
        <v>228.6</v>
      </c>
      <c r="L1679" s="2">
        <v>32.86</v>
      </c>
      <c r="M1679" s="2">
        <v>695.6</v>
      </c>
      <c r="N1679" s="2">
        <v>467</v>
      </c>
      <c r="O1679" s="2">
        <v>181.6</v>
      </c>
      <c r="P1679" s="2">
        <v>32.86</v>
      </c>
    </row>
    <row r="1680" spans="1:16" x14ac:dyDescent="0.25">
      <c r="A1680" t="s">
        <v>15</v>
      </c>
      <c r="B1680" t="s">
        <v>2016</v>
      </c>
      <c r="C1680" t="s">
        <v>187</v>
      </c>
      <c r="D1680" t="s">
        <v>2101</v>
      </c>
      <c r="E1680" t="s">
        <v>47</v>
      </c>
      <c r="F1680" t="s">
        <v>2102</v>
      </c>
      <c r="G1680" s="1">
        <f>45939</f>
        <v>45939</v>
      </c>
      <c r="H1680" t="s">
        <v>1755</v>
      </c>
      <c r="I1680" s="2">
        <v>17133.599999999999</v>
      </c>
      <c r="J1680" s="2">
        <v>11947.04</v>
      </c>
      <c r="K1680" s="2">
        <v>5186.5600000000004</v>
      </c>
      <c r="L1680" s="2">
        <v>30.27</v>
      </c>
      <c r="M1680" s="2">
        <v>0</v>
      </c>
      <c r="N1680" s="2">
        <v>1028.8599999999999</v>
      </c>
      <c r="O1680" s="2">
        <v>0</v>
      </c>
      <c r="P1680" s="2">
        <v>0</v>
      </c>
    </row>
    <row r="1681" spans="1:16" x14ac:dyDescent="0.25">
      <c r="A1681" t="s">
        <v>15</v>
      </c>
      <c r="B1681" t="s">
        <v>2016</v>
      </c>
      <c r="C1681" t="s">
        <v>187</v>
      </c>
      <c r="D1681" t="s">
        <v>2103</v>
      </c>
      <c r="E1681" t="s">
        <v>19</v>
      </c>
      <c r="F1681" t="s">
        <v>215</v>
      </c>
      <c r="G1681" s="1">
        <f>45939</f>
        <v>45939</v>
      </c>
      <c r="H1681" t="s">
        <v>1755</v>
      </c>
      <c r="I1681" s="2">
        <v>213.4</v>
      </c>
      <c r="J1681" s="2">
        <v>133.83000000000001</v>
      </c>
      <c r="K1681" s="2">
        <v>79.569999999999993</v>
      </c>
      <c r="L1681" s="2">
        <v>37.29</v>
      </c>
      <c r="M1681" s="2">
        <v>213.4</v>
      </c>
      <c r="N1681" s="2">
        <v>133.93</v>
      </c>
      <c r="O1681" s="2">
        <v>70.47</v>
      </c>
      <c r="P1681" s="2">
        <v>37.24</v>
      </c>
    </row>
    <row r="1682" spans="1:16" x14ac:dyDescent="0.25">
      <c r="A1682" t="s">
        <v>15</v>
      </c>
      <c r="B1682" t="s">
        <v>2016</v>
      </c>
      <c r="C1682" t="s">
        <v>187</v>
      </c>
      <c r="D1682" t="s">
        <v>2104</v>
      </c>
      <c r="E1682" t="s">
        <v>47</v>
      </c>
      <c r="F1682" t="s">
        <v>189</v>
      </c>
      <c r="G1682" s="1">
        <f>45939</f>
        <v>45939</v>
      </c>
      <c r="H1682" t="s">
        <v>1755</v>
      </c>
      <c r="I1682" s="2">
        <v>6429.6</v>
      </c>
      <c r="J1682" s="2">
        <v>4497.9799999999996</v>
      </c>
      <c r="K1682" s="2">
        <v>1931.62</v>
      </c>
      <c r="L1682" s="2">
        <v>30.04</v>
      </c>
      <c r="M1682" s="2">
        <v>6429.6</v>
      </c>
      <c r="N1682" s="2">
        <v>4497.9799999999996</v>
      </c>
      <c r="O1682" s="2">
        <v>1867.62</v>
      </c>
      <c r="P1682" s="2">
        <v>30.04</v>
      </c>
    </row>
    <row r="1683" spans="1:16" x14ac:dyDescent="0.25">
      <c r="A1683" t="s">
        <v>15</v>
      </c>
      <c r="B1683" t="s">
        <v>2016</v>
      </c>
      <c r="C1683" t="s">
        <v>187</v>
      </c>
      <c r="D1683" t="s">
        <v>2105</v>
      </c>
      <c r="E1683" t="s">
        <v>19</v>
      </c>
      <c r="F1683" t="s">
        <v>219</v>
      </c>
      <c r="G1683" s="1">
        <f>45939</f>
        <v>45939</v>
      </c>
      <c r="H1683" t="s">
        <v>1755</v>
      </c>
      <c r="I1683" s="2">
        <v>968.2</v>
      </c>
      <c r="J1683" s="2">
        <v>645.20000000000005</v>
      </c>
      <c r="K1683" s="2">
        <v>323</v>
      </c>
      <c r="L1683" s="2">
        <v>33.36</v>
      </c>
      <c r="M1683" s="2">
        <v>968.2</v>
      </c>
      <c r="N1683" s="2">
        <v>645.20000000000005</v>
      </c>
      <c r="O1683" s="2">
        <v>323</v>
      </c>
      <c r="P1683" s="2">
        <v>33.36</v>
      </c>
    </row>
    <row r="1684" spans="1:16" x14ac:dyDescent="0.25">
      <c r="A1684" t="s">
        <v>15</v>
      </c>
      <c r="B1684" t="s">
        <v>2016</v>
      </c>
      <c r="C1684" t="s">
        <v>187</v>
      </c>
      <c r="D1684" t="s">
        <v>2106</v>
      </c>
      <c r="E1684" t="s">
        <v>19</v>
      </c>
      <c r="F1684" t="s">
        <v>228</v>
      </c>
      <c r="G1684" s="1">
        <f>45940</f>
        <v>45940</v>
      </c>
      <c r="H1684" t="s">
        <v>1755</v>
      </c>
      <c r="I1684" s="2">
        <v>593</v>
      </c>
      <c r="J1684" s="2">
        <v>323.8</v>
      </c>
      <c r="K1684" s="2">
        <v>269.2</v>
      </c>
      <c r="L1684" s="2">
        <v>45.4</v>
      </c>
      <c r="M1684" s="2">
        <v>593</v>
      </c>
      <c r="N1684" s="2">
        <v>323.8</v>
      </c>
      <c r="O1684" s="2">
        <v>184.4</v>
      </c>
      <c r="P1684" s="2">
        <v>45.4</v>
      </c>
    </row>
    <row r="1685" spans="1:16" x14ac:dyDescent="0.25">
      <c r="A1685" t="s">
        <v>15</v>
      </c>
      <c r="B1685" t="s">
        <v>2016</v>
      </c>
      <c r="C1685" t="s">
        <v>187</v>
      </c>
      <c r="D1685" t="s">
        <v>2107</v>
      </c>
      <c r="E1685" t="s">
        <v>19</v>
      </c>
      <c r="F1685" t="s">
        <v>1033</v>
      </c>
      <c r="G1685" s="1">
        <f>45943</f>
        <v>45943</v>
      </c>
      <c r="H1685" t="s">
        <v>1755</v>
      </c>
      <c r="I1685" s="2">
        <v>4330.6000000000004</v>
      </c>
      <c r="J1685" s="2">
        <v>2931.41</v>
      </c>
      <c r="K1685" s="2">
        <v>1399.19</v>
      </c>
      <c r="L1685" s="2">
        <v>32.31</v>
      </c>
      <c r="M1685" s="2">
        <v>4330.6000000000004</v>
      </c>
      <c r="N1685" s="2">
        <v>2931.41</v>
      </c>
      <c r="O1685" s="2">
        <v>1079.19</v>
      </c>
      <c r="P1685" s="2">
        <v>32.31</v>
      </c>
    </row>
    <row r="1686" spans="1:16" x14ac:dyDescent="0.25">
      <c r="A1686" t="s">
        <v>15</v>
      </c>
      <c r="B1686" t="s">
        <v>2016</v>
      </c>
      <c r="C1686" t="s">
        <v>187</v>
      </c>
      <c r="D1686" t="s">
        <v>2108</v>
      </c>
      <c r="E1686" t="s">
        <v>19</v>
      </c>
      <c r="F1686" t="s">
        <v>191</v>
      </c>
      <c r="G1686" s="1">
        <f>45943</f>
        <v>45943</v>
      </c>
      <c r="H1686" t="s">
        <v>1755</v>
      </c>
      <c r="I1686" s="2">
        <v>1001.32</v>
      </c>
      <c r="J1686" s="2">
        <v>669.02</v>
      </c>
      <c r="K1686" s="2">
        <v>332.3</v>
      </c>
      <c r="L1686" s="2">
        <v>33.19</v>
      </c>
      <c r="M1686" s="2">
        <v>1001.32</v>
      </c>
      <c r="N1686" s="2">
        <v>669.02</v>
      </c>
      <c r="O1686" s="2">
        <v>320.3</v>
      </c>
      <c r="P1686" s="2">
        <v>33.19</v>
      </c>
    </row>
    <row r="1687" spans="1:16" x14ac:dyDescent="0.25">
      <c r="A1687" t="s">
        <v>15</v>
      </c>
      <c r="B1687" t="s">
        <v>2016</v>
      </c>
      <c r="C1687" t="s">
        <v>187</v>
      </c>
      <c r="D1687" t="s">
        <v>2109</v>
      </c>
      <c r="E1687" t="s">
        <v>19</v>
      </c>
      <c r="F1687" t="s">
        <v>248</v>
      </c>
      <c r="G1687" s="1">
        <f>45943</f>
        <v>45943</v>
      </c>
      <c r="H1687" t="s">
        <v>1755</v>
      </c>
      <c r="I1687" s="2">
        <v>410.77</v>
      </c>
      <c r="J1687" s="2">
        <v>267</v>
      </c>
      <c r="K1687" s="2">
        <v>143.77000000000001</v>
      </c>
      <c r="L1687" s="2">
        <v>35</v>
      </c>
      <c r="M1687" s="2">
        <v>410.77</v>
      </c>
      <c r="N1687" s="2">
        <v>267</v>
      </c>
      <c r="O1687" s="2">
        <v>143.77000000000001</v>
      </c>
      <c r="P1687" s="2">
        <v>35</v>
      </c>
    </row>
    <row r="1688" spans="1:16" x14ac:dyDescent="0.25">
      <c r="A1688" t="s">
        <v>15</v>
      </c>
      <c r="B1688" t="s">
        <v>2016</v>
      </c>
      <c r="C1688" t="s">
        <v>187</v>
      </c>
      <c r="D1688" t="s">
        <v>2110</v>
      </c>
      <c r="E1688" t="s">
        <v>19</v>
      </c>
      <c r="F1688" t="s">
        <v>248</v>
      </c>
      <c r="G1688" s="1">
        <f>45943</f>
        <v>45943</v>
      </c>
      <c r="H1688" t="s">
        <v>1755</v>
      </c>
      <c r="I1688" s="2">
        <v>448.7</v>
      </c>
      <c r="J1688" s="2">
        <v>328.38</v>
      </c>
      <c r="K1688" s="2">
        <v>120.32</v>
      </c>
      <c r="L1688" s="2">
        <v>26.82</v>
      </c>
      <c r="M1688" s="2">
        <v>448.7</v>
      </c>
      <c r="N1688" s="2">
        <v>328.38</v>
      </c>
      <c r="O1688" s="2">
        <v>55.32</v>
      </c>
      <c r="P1688" s="2">
        <v>26.82</v>
      </c>
    </row>
    <row r="1689" spans="1:16" x14ac:dyDescent="0.25">
      <c r="A1689" t="s">
        <v>15</v>
      </c>
      <c r="B1689" t="s">
        <v>2016</v>
      </c>
      <c r="C1689" t="s">
        <v>187</v>
      </c>
      <c r="D1689" t="s">
        <v>2111</v>
      </c>
      <c r="E1689" t="s">
        <v>47</v>
      </c>
      <c r="F1689" t="s">
        <v>544</v>
      </c>
      <c r="G1689" s="1">
        <f>45943</f>
        <v>45943</v>
      </c>
      <c r="H1689" t="s">
        <v>1755</v>
      </c>
      <c r="I1689" s="2">
        <v>6846.2</v>
      </c>
      <c r="J1689" s="2">
        <v>4653.12</v>
      </c>
      <c r="K1689" s="2">
        <v>2193.08</v>
      </c>
      <c r="L1689" s="2">
        <v>32.03</v>
      </c>
      <c r="M1689" s="2">
        <v>6846.2</v>
      </c>
      <c r="N1689" s="2">
        <v>4653.12</v>
      </c>
      <c r="O1689" s="2">
        <v>2105.08</v>
      </c>
      <c r="P1689" s="2">
        <v>32.03</v>
      </c>
    </row>
    <row r="1690" spans="1:16" x14ac:dyDescent="0.25">
      <c r="A1690" t="s">
        <v>15</v>
      </c>
      <c r="B1690" t="s">
        <v>2016</v>
      </c>
      <c r="C1690" t="s">
        <v>187</v>
      </c>
      <c r="D1690" t="s">
        <v>2112</v>
      </c>
      <c r="E1690" t="s">
        <v>47</v>
      </c>
      <c r="F1690" t="s">
        <v>544</v>
      </c>
      <c r="G1690" s="1">
        <f>45944</f>
        <v>45944</v>
      </c>
      <c r="H1690" t="s">
        <v>1755</v>
      </c>
      <c r="I1690" s="2">
        <v>11282.3</v>
      </c>
      <c r="J1690" s="2">
        <v>7614.8</v>
      </c>
      <c r="K1690" s="2">
        <v>3667.5</v>
      </c>
      <c r="L1690" s="2">
        <v>32.51</v>
      </c>
      <c r="M1690" s="2">
        <v>11282.3</v>
      </c>
      <c r="N1690" s="2">
        <v>7614.8</v>
      </c>
      <c r="O1690" s="2">
        <v>3612.5</v>
      </c>
      <c r="P1690" s="2">
        <v>32.51</v>
      </c>
    </row>
    <row r="1691" spans="1:16" x14ac:dyDescent="0.25">
      <c r="A1691" t="s">
        <v>15</v>
      </c>
      <c r="B1691" t="s">
        <v>2016</v>
      </c>
      <c r="C1691" t="s">
        <v>187</v>
      </c>
      <c r="D1691" t="s">
        <v>2113</v>
      </c>
      <c r="E1691" t="s">
        <v>19</v>
      </c>
      <c r="F1691" t="s">
        <v>211</v>
      </c>
      <c r="G1691" s="1">
        <f>45945</f>
        <v>45945</v>
      </c>
      <c r="H1691" t="s">
        <v>1755</v>
      </c>
      <c r="I1691" s="2">
        <v>3895.6</v>
      </c>
      <c r="J1691" s="2">
        <v>2543.4</v>
      </c>
      <c r="K1691" s="2">
        <v>1352.2</v>
      </c>
      <c r="L1691" s="2">
        <v>34.71</v>
      </c>
      <c r="M1691" s="2">
        <v>3895.6</v>
      </c>
      <c r="N1691" s="2">
        <v>2543.4</v>
      </c>
      <c r="O1691" s="2">
        <v>1198.2</v>
      </c>
      <c r="P1691" s="2">
        <v>34.71</v>
      </c>
    </row>
    <row r="1692" spans="1:16" x14ac:dyDescent="0.25">
      <c r="A1692" t="s">
        <v>15</v>
      </c>
      <c r="B1692" t="s">
        <v>2016</v>
      </c>
      <c r="C1692" t="s">
        <v>187</v>
      </c>
      <c r="D1692" t="s">
        <v>2114</v>
      </c>
      <c r="E1692" t="s">
        <v>19</v>
      </c>
      <c r="F1692" t="s">
        <v>547</v>
      </c>
      <c r="G1692" s="1">
        <f>45945</f>
        <v>45945</v>
      </c>
      <c r="H1692" t="s">
        <v>1755</v>
      </c>
      <c r="I1692" s="2">
        <v>218.5</v>
      </c>
      <c r="J1692" s="2">
        <v>146.47</v>
      </c>
      <c r="K1692" s="2">
        <v>72.03</v>
      </c>
      <c r="L1692" s="2">
        <v>32.97</v>
      </c>
      <c r="M1692" s="2">
        <v>218.5</v>
      </c>
      <c r="N1692" s="2">
        <v>146.47</v>
      </c>
      <c r="O1692" s="2">
        <v>63.03</v>
      </c>
      <c r="P1692" s="2">
        <v>32.97</v>
      </c>
    </row>
    <row r="1693" spans="1:16" x14ac:dyDescent="0.25">
      <c r="A1693" t="s">
        <v>15</v>
      </c>
      <c r="B1693" t="s">
        <v>2016</v>
      </c>
      <c r="C1693" t="s">
        <v>187</v>
      </c>
      <c r="D1693" t="s">
        <v>2115</v>
      </c>
      <c r="E1693" t="s">
        <v>19</v>
      </c>
      <c r="F1693" t="s">
        <v>193</v>
      </c>
      <c r="G1693" s="1">
        <f>45945</f>
        <v>45945</v>
      </c>
      <c r="H1693" t="s">
        <v>1755</v>
      </c>
      <c r="I1693" s="2">
        <v>427.65</v>
      </c>
      <c r="J1693" s="2">
        <v>288.52</v>
      </c>
      <c r="K1693" s="2">
        <v>139.13</v>
      </c>
      <c r="L1693" s="2">
        <v>32.53</v>
      </c>
      <c r="M1693" s="2">
        <v>427.65</v>
      </c>
      <c r="N1693" s="2">
        <v>288.52</v>
      </c>
      <c r="O1693" s="2">
        <v>94.13</v>
      </c>
      <c r="P1693" s="2">
        <v>32.53</v>
      </c>
    </row>
    <row r="1694" spans="1:16" x14ac:dyDescent="0.25">
      <c r="A1694" t="s">
        <v>15</v>
      </c>
      <c r="B1694" t="s">
        <v>2016</v>
      </c>
      <c r="C1694" t="s">
        <v>187</v>
      </c>
      <c r="D1694" t="s">
        <v>2116</v>
      </c>
      <c r="E1694" t="s">
        <v>19</v>
      </c>
      <c r="F1694" t="s">
        <v>189</v>
      </c>
      <c r="G1694" s="1">
        <f>45946</f>
        <v>45946</v>
      </c>
      <c r="H1694" t="s">
        <v>1755</v>
      </c>
      <c r="I1694" s="2">
        <v>672.4</v>
      </c>
      <c r="J1694" s="2">
        <v>455.14</v>
      </c>
      <c r="K1694" s="2">
        <v>217.26</v>
      </c>
      <c r="L1694" s="2">
        <v>32.31</v>
      </c>
      <c r="M1694" s="2">
        <v>672.4</v>
      </c>
      <c r="N1694" s="2">
        <v>454.02</v>
      </c>
      <c r="O1694" s="2">
        <v>209.38</v>
      </c>
      <c r="P1694" s="2">
        <v>32.479999999999997</v>
      </c>
    </row>
    <row r="1695" spans="1:16" x14ac:dyDescent="0.25">
      <c r="A1695" t="s">
        <v>15</v>
      </c>
      <c r="B1695" t="s">
        <v>2016</v>
      </c>
      <c r="C1695" t="s">
        <v>187</v>
      </c>
      <c r="D1695" t="s">
        <v>2117</v>
      </c>
      <c r="E1695" t="s">
        <v>19</v>
      </c>
      <c r="F1695" t="s">
        <v>2118</v>
      </c>
      <c r="G1695" s="1">
        <f>45946</f>
        <v>45946</v>
      </c>
      <c r="H1695" t="s">
        <v>1755</v>
      </c>
      <c r="I1695" s="2">
        <v>1554</v>
      </c>
      <c r="J1695" s="2">
        <v>1012</v>
      </c>
      <c r="K1695" s="2">
        <v>542</v>
      </c>
      <c r="L1695" s="2">
        <v>34.880000000000003</v>
      </c>
      <c r="M1695" s="2">
        <v>1554</v>
      </c>
      <c r="N1695" s="2">
        <v>1012</v>
      </c>
      <c r="O1695" s="2">
        <v>385</v>
      </c>
      <c r="P1695" s="2">
        <v>34.880000000000003</v>
      </c>
    </row>
    <row r="1696" spans="1:16" x14ac:dyDescent="0.25">
      <c r="A1696" t="s">
        <v>15</v>
      </c>
      <c r="B1696" t="s">
        <v>2016</v>
      </c>
      <c r="C1696" t="s">
        <v>187</v>
      </c>
      <c r="D1696" t="s">
        <v>2119</v>
      </c>
      <c r="E1696" t="s">
        <v>19</v>
      </c>
      <c r="F1696" t="s">
        <v>196</v>
      </c>
      <c r="G1696" s="1">
        <f>45946</f>
        <v>45946</v>
      </c>
      <c r="H1696" t="s">
        <v>1755</v>
      </c>
      <c r="I1696" s="2">
        <v>948.5</v>
      </c>
      <c r="J1696" s="2">
        <v>649</v>
      </c>
      <c r="K1696" s="2">
        <v>299.5</v>
      </c>
      <c r="L1696" s="2">
        <v>31.58</v>
      </c>
      <c r="M1696" s="2">
        <v>948.5</v>
      </c>
      <c r="N1696" s="2">
        <v>649</v>
      </c>
      <c r="O1696" s="2">
        <v>252.5</v>
      </c>
      <c r="P1696" s="2">
        <v>31.58</v>
      </c>
    </row>
    <row r="1697" spans="1:16" x14ac:dyDescent="0.25">
      <c r="A1697" t="s">
        <v>15</v>
      </c>
      <c r="B1697" t="s">
        <v>2016</v>
      </c>
      <c r="C1697" t="s">
        <v>187</v>
      </c>
      <c r="D1697" t="s">
        <v>2120</v>
      </c>
      <c r="E1697" t="s">
        <v>19</v>
      </c>
      <c r="F1697" t="s">
        <v>191</v>
      </c>
      <c r="G1697" s="1">
        <f>45946</f>
        <v>45946</v>
      </c>
      <c r="H1697" t="s">
        <v>1755</v>
      </c>
      <c r="I1697" s="2">
        <v>901.5</v>
      </c>
      <c r="J1697" s="2">
        <v>548.5</v>
      </c>
      <c r="K1697" s="2">
        <v>353</v>
      </c>
      <c r="L1697" s="2">
        <v>39.159999999999997</v>
      </c>
      <c r="M1697" s="2">
        <v>901.5</v>
      </c>
      <c r="N1697" s="2">
        <v>548.5</v>
      </c>
      <c r="O1697" s="2">
        <v>343</v>
      </c>
      <c r="P1697" s="2">
        <v>39.159999999999997</v>
      </c>
    </row>
    <row r="1698" spans="1:16" x14ac:dyDescent="0.25">
      <c r="A1698" t="s">
        <v>15</v>
      </c>
      <c r="B1698" t="s">
        <v>2016</v>
      </c>
      <c r="C1698" t="s">
        <v>187</v>
      </c>
      <c r="D1698" t="s">
        <v>2121</v>
      </c>
      <c r="E1698" t="s">
        <v>19</v>
      </c>
      <c r="F1698" t="s">
        <v>219</v>
      </c>
      <c r="G1698" s="1">
        <f>45947</f>
        <v>45947</v>
      </c>
      <c r="H1698" t="s">
        <v>1755</v>
      </c>
      <c r="I1698" s="2">
        <v>170.45</v>
      </c>
      <c r="J1698" s="2">
        <v>118.12</v>
      </c>
      <c r="K1698" s="2">
        <v>52.33</v>
      </c>
      <c r="L1698" s="2">
        <v>30.7</v>
      </c>
      <c r="M1698" s="2">
        <v>170.45</v>
      </c>
      <c r="N1698" s="2">
        <v>118.12</v>
      </c>
      <c r="O1698" s="2">
        <v>43.33</v>
      </c>
      <c r="P1698" s="2">
        <v>30.7</v>
      </c>
    </row>
    <row r="1699" spans="1:16" x14ac:dyDescent="0.25">
      <c r="A1699" t="s">
        <v>15</v>
      </c>
      <c r="B1699" t="s">
        <v>2016</v>
      </c>
      <c r="C1699" t="s">
        <v>187</v>
      </c>
      <c r="D1699" t="s">
        <v>2122</v>
      </c>
      <c r="E1699" t="s">
        <v>47</v>
      </c>
      <c r="F1699" t="s">
        <v>204</v>
      </c>
      <c r="G1699" s="1">
        <f>45950</f>
        <v>45950</v>
      </c>
      <c r="H1699" t="s">
        <v>1755</v>
      </c>
      <c r="I1699" s="2">
        <v>818.22</v>
      </c>
      <c r="J1699" s="2">
        <v>569.70000000000005</v>
      </c>
      <c r="K1699" s="2">
        <v>248.52</v>
      </c>
      <c r="L1699" s="2">
        <v>30.37</v>
      </c>
      <c r="M1699" s="2">
        <v>0</v>
      </c>
      <c r="N1699" s="2">
        <v>0</v>
      </c>
      <c r="O1699" s="2">
        <v>0</v>
      </c>
      <c r="P1699" s="2">
        <v>0</v>
      </c>
    </row>
    <row r="1700" spans="1:16" x14ac:dyDescent="0.25">
      <c r="A1700" t="s">
        <v>15</v>
      </c>
      <c r="B1700" t="s">
        <v>2016</v>
      </c>
      <c r="C1700" t="s">
        <v>187</v>
      </c>
      <c r="D1700" t="s">
        <v>2123</v>
      </c>
      <c r="E1700" t="s">
        <v>19</v>
      </c>
      <c r="F1700" t="s">
        <v>191</v>
      </c>
      <c r="G1700" s="1">
        <f>45957</f>
        <v>45957</v>
      </c>
      <c r="H1700" t="s">
        <v>1755</v>
      </c>
      <c r="I1700" s="2">
        <v>979.8</v>
      </c>
      <c r="J1700" s="2">
        <v>651.41999999999996</v>
      </c>
      <c r="K1700" s="2">
        <v>328.38</v>
      </c>
      <c r="L1700" s="2">
        <v>33.520000000000003</v>
      </c>
      <c r="M1700" s="2">
        <v>979.8</v>
      </c>
      <c r="N1700" s="2">
        <v>651.41999999999996</v>
      </c>
      <c r="O1700" s="2">
        <v>328.38</v>
      </c>
      <c r="P1700" s="2">
        <v>33.520000000000003</v>
      </c>
    </row>
    <row r="1701" spans="1:16" x14ac:dyDescent="0.25">
      <c r="A1701" t="s">
        <v>15</v>
      </c>
      <c r="B1701" t="s">
        <v>2016</v>
      </c>
      <c r="C1701" t="s">
        <v>187</v>
      </c>
      <c r="D1701" t="s">
        <v>2124</v>
      </c>
      <c r="E1701" t="s">
        <v>19</v>
      </c>
      <c r="F1701" t="s">
        <v>191</v>
      </c>
      <c r="G1701" s="1">
        <f>45957</f>
        <v>45957</v>
      </c>
      <c r="H1701" t="s">
        <v>1755</v>
      </c>
      <c r="I1701" s="2">
        <v>862.54</v>
      </c>
      <c r="J1701" s="2">
        <v>621.4</v>
      </c>
      <c r="K1701" s="2">
        <v>241.14</v>
      </c>
      <c r="L1701" s="2">
        <v>27.96</v>
      </c>
      <c r="M1701" s="2">
        <v>862.54</v>
      </c>
      <c r="N1701" s="2">
        <v>621.4</v>
      </c>
      <c r="O1701" s="2">
        <v>206.14</v>
      </c>
      <c r="P1701" s="2">
        <v>27.96</v>
      </c>
    </row>
    <row r="1702" spans="1:16" x14ac:dyDescent="0.25">
      <c r="A1702" t="s">
        <v>15</v>
      </c>
      <c r="B1702" t="s">
        <v>2016</v>
      </c>
      <c r="C1702" t="s">
        <v>187</v>
      </c>
      <c r="D1702" t="s">
        <v>2125</v>
      </c>
      <c r="E1702" t="s">
        <v>19</v>
      </c>
      <c r="F1702" t="s">
        <v>1754</v>
      </c>
      <c r="G1702" s="1">
        <f>45959</f>
        <v>45959</v>
      </c>
      <c r="H1702" t="s">
        <v>1755</v>
      </c>
      <c r="I1702" s="2">
        <v>2372.4</v>
      </c>
      <c r="J1702" s="2">
        <v>1578.12</v>
      </c>
      <c r="K1702" s="2">
        <v>794.28</v>
      </c>
      <c r="L1702" s="2">
        <v>33.479999999999997</v>
      </c>
      <c r="M1702" s="2">
        <v>2372.4</v>
      </c>
      <c r="N1702" s="2">
        <v>1578.12</v>
      </c>
      <c r="O1702" s="2">
        <v>729.28</v>
      </c>
      <c r="P1702" s="2">
        <v>33.479999999999997</v>
      </c>
    </row>
    <row r="1703" spans="1:16" x14ac:dyDescent="0.25">
      <c r="A1703" t="s">
        <v>15</v>
      </c>
      <c r="B1703" t="s">
        <v>2016</v>
      </c>
      <c r="C1703" t="s">
        <v>187</v>
      </c>
      <c r="D1703" t="s">
        <v>2126</v>
      </c>
      <c r="E1703" t="s">
        <v>47</v>
      </c>
      <c r="F1703" t="s">
        <v>544</v>
      </c>
      <c r="G1703" s="1">
        <f>45959</f>
        <v>45959</v>
      </c>
      <c r="H1703" t="s">
        <v>1755</v>
      </c>
      <c r="I1703" s="2">
        <v>797.8</v>
      </c>
      <c r="J1703" s="2">
        <v>528</v>
      </c>
      <c r="K1703" s="2">
        <v>269.8</v>
      </c>
      <c r="L1703" s="2">
        <v>33.82</v>
      </c>
      <c r="M1703" s="2">
        <v>797.8</v>
      </c>
      <c r="N1703" s="2">
        <v>528</v>
      </c>
      <c r="O1703" s="2">
        <v>269.8</v>
      </c>
      <c r="P1703" s="2">
        <v>33.82</v>
      </c>
    </row>
    <row r="1704" spans="1:16" x14ac:dyDescent="0.25">
      <c r="A1704" t="s">
        <v>15</v>
      </c>
      <c r="B1704" t="s">
        <v>2016</v>
      </c>
      <c r="C1704" t="s">
        <v>187</v>
      </c>
      <c r="D1704" t="s">
        <v>2127</v>
      </c>
      <c r="E1704" t="s">
        <v>47</v>
      </c>
      <c r="F1704" t="s">
        <v>193</v>
      </c>
      <c r="G1704" s="1">
        <f>45959</f>
        <v>45959</v>
      </c>
      <c r="H1704" t="s">
        <v>1755</v>
      </c>
      <c r="I1704" s="2">
        <v>1122.5</v>
      </c>
      <c r="J1704" s="2">
        <v>819.5</v>
      </c>
      <c r="K1704" s="2">
        <v>303</v>
      </c>
      <c r="L1704" s="2">
        <v>26.99</v>
      </c>
      <c r="M1704" s="2">
        <v>0</v>
      </c>
      <c r="N1704" s="2">
        <v>0</v>
      </c>
      <c r="O1704" s="2">
        <v>0</v>
      </c>
      <c r="P1704" s="2">
        <v>0</v>
      </c>
    </row>
    <row r="1705" spans="1:16" x14ac:dyDescent="0.25">
      <c r="A1705" t="s">
        <v>15</v>
      </c>
      <c r="B1705" t="s">
        <v>2016</v>
      </c>
      <c r="C1705" t="s">
        <v>187</v>
      </c>
      <c r="D1705" t="s">
        <v>2128</v>
      </c>
      <c r="E1705" t="s">
        <v>19</v>
      </c>
      <c r="F1705" t="s">
        <v>200</v>
      </c>
      <c r="G1705" s="1">
        <f>45960</f>
        <v>45960</v>
      </c>
      <c r="H1705" t="s">
        <v>1755</v>
      </c>
      <c r="I1705" s="2">
        <v>3732</v>
      </c>
      <c r="J1705" s="2">
        <v>2543</v>
      </c>
      <c r="K1705" s="2">
        <v>1189</v>
      </c>
      <c r="L1705" s="2">
        <v>31.86</v>
      </c>
      <c r="M1705" s="2">
        <v>3732</v>
      </c>
      <c r="N1705" s="2">
        <v>2543</v>
      </c>
      <c r="O1705" s="2">
        <v>1134</v>
      </c>
      <c r="P1705" s="2">
        <v>31.86</v>
      </c>
    </row>
    <row r="1706" spans="1:16" x14ac:dyDescent="0.25">
      <c r="A1706" t="s">
        <v>15</v>
      </c>
      <c r="B1706" t="s">
        <v>2016</v>
      </c>
      <c r="C1706" t="s">
        <v>187</v>
      </c>
      <c r="D1706" t="s">
        <v>2129</v>
      </c>
      <c r="E1706" t="s">
        <v>47</v>
      </c>
      <c r="F1706" t="s">
        <v>507</v>
      </c>
      <c r="G1706" s="1">
        <f>45960</f>
        <v>45960</v>
      </c>
      <c r="H1706" t="s">
        <v>1755</v>
      </c>
      <c r="I1706" s="2">
        <v>3520.4</v>
      </c>
      <c r="J1706" s="2">
        <v>2639.8</v>
      </c>
      <c r="K1706" s="2">
        <v>880.6</v>
      </c>
      <c r="L1706" s="2">
        <v>25.01</v>
      </c>
      <c r="M1706" s="2">
        <v>0</v>
      </c>
      <c r="N1706" s="2">
        <v>2437.8000000000002</v>
      </c>
      <c r="O1706" s="2">
        <v>0</v>
      </c>
      <c r="P1706" s="2">
        <v>0</v>
      </c>
    </row>
    <row r="1707" spans="1:16" x14ac:dyDescent="0.25">
      <c r="A1707" t="s">
        <v>15</v>
      </c>
      <c r="B1707" t="s">
        <v>2016</v>
      </c>
      <c r="C1707" t="s">
        <v>187</v>
      </c>
      <c r="D1707" t="s">
        <v>2130</v>
      </c>
      <c r="E1707" t="s">
        <v>47</v>
      </c>
      <c r="F1707" t="s">
        <v>191</v>
      </c>
      <c r="G1707" s="1">
        <f>45960</f>
        <v>45960</v>
      </c>
      <c r="H1707" t="s">
        <v>1755</v>
      </c>
      <c r="I1707" s="2">
        <v>766.3</v>
      </c>
      <c r="J1707" s="2">
        <v>488.11</v>
      </c>
      <c r="K1707" s="2">
        <v>278.19</v>
      </c>
      <c r="L1707" s="2">
        <v>36.299999999999997</v>
      </c>
      <c r="M1707" s="2">
        <v>313.89999999999998</v>
      </c>
      <c r="N1707" s="2">
        <v>488.11</v>
      </c>
      <c r="O1707" s="2">
        <v>-174.21</v>
      </c>
      <c r="P1707" s="2">
        <v>-55.5</v>
      </c>
    </row>
    <row r="1708" spans="1:16" x14ac:dyDescent="0.25">
      <c r="A1708" t="s">
        <v>15</v>
      </c>
      <c r="B1708" t="s">
        <v>2016</v>
      </c>
      <c r="C1708" t="s">
        <v>187</v>
      </c>
      <c r="D1708" t="s">
        <v>2131</v>
      </c>
      <c r="E1708" t="s">
        <v>19</v>
      </c>
      <c r="F1708" t="s">
        <v>219</v>
      </c>
      <c r="G1708" s="1">
        <f>45961</f>
        <v>45961</v>
      </c>
      <c r="H1708" t="s">
        <v>1755</v>
      </c>
      <c r="I1708" s="2">
        <v>460.8</v>
      </c>
      <c r="J1708" s="2">
        <v>307.37</v>
      </c>
      <c r="K1708" s="2">
        <v>153.43</v>
      </c>
      <c r="L1708" s="2">
        <v>33.299999999999997</v>
      </c>
      <c r="M1708" s="2">
        <v>460.8</v>
      </c>
      <c r="N1708" s="2">
        <v>307.37</v>
      </c>
      <c r="O1708" s="2">
        <v>117.43</v>
      </c>
      <c r="P1708" s="2">
        <v>33.299999999999997</v>
      </c>
    </row>
    <row r="1709" spans="1:16" x14ac:dyDescent="0.25">
      <c r="A1709" t="s">
        <v>15</v>
      </c>
      <c r="B1709" t="s">
        <v>2016</v>
      </c>
      <c r="C1709" t="s">
        <v>187</v>
      </c>
      <c r="D1709" t="s">
        <v>2132</v>
      </c>
      <c r="E1709" t="s">
        <v>47</v>
      </c>
      <c r="F1709" t="s">
        <v>219</v>
      </c>
      <c r="G1709" s="1">
        <f>45961</f>
        <v>45961</v>
      </c>
      <c r="H1709" t="s">
        <v>1755</v>
      </c>
      <c r="I1709" s="2">
        <v>2030.99</v>
      </c>
      <c r="J1709" s="2">
        <v>1393.74</v>
      </c>
      <c r="K1709" s="2">
        <v>637.25</v>
      </c>
      <c r="L1709" s="2">
        <v>31.38</v>
      </c>
      <c r="M1709" s="2">
        <v>2030.99</v>
      </c>
      <c r="N1709" s="2">
        <v>1393.74</v>
      </c>
      <c r="O1709" s="2">
        <v>628.25</v>
      </c>
      <c r="P1709" s="2">
        <v>31.38</v>
      </c>
    </row>
    <row r="1710" spans="1:16" x14ac:dyDescent="0.25">
      <c r="A1710" t="s">
        <v>15</v>
      </c>
      <c r="B1710" t="s">
        <v>2016</v>
      </c>
      <c r="C1710" t="s">
        <v>187</v>
      </c>
      <c r="D1710" t="s">
        <v>2133</v>
      </c>
      <c r="E1710" t="s">
        <v>47</v>
      </c>
      <c r="F1710" t="s">
        <v>1415</v>
      </c>
      <c r="G1710" s="1">
        <f>45938</f>
        <v>45938</v>
      </c>
      <c r="H1710" t="s">
        <v>70</v>
      </c>
      <c r="I1710" s="2">
        <v>2423.6</v>
      </c>
      <c r="J1710" s="2">
        <v>2000.85</v>
      </c>
      <c r="K1710" s="2">
        <v>422.75</v>
      </c>
      <c r="L1710" s="2">
        <v>17.440000000000001</v>
      </c>
      <c r="M1710" s="2">
        <v>2423.6</v>
      </c>
      <c r="N1710" s="2">
        <v>2000.85</v>
      </c>
      <c r="O1710" s="2">
        <v>298.75</v>
      </c>
      <c r="P1710" s="2">
        <v>17.440000000000001</v>
      </c>
    </row>
    <row r="1711" spans="1:16" x14ac:dyDescent="0.25">
      <c r="A1711" t="s">
        <v>15</v>
      </c>
      <c r="B1711" t="s">
        <v>2016</v>
      </c>
      <c r="C1711" t="s">
        <v>252</v>
      </c>
      <c r="D1711" t="s">
        <v>2134</v>
      </c>
      <c r="E1711" t="s">
        <v>47</v>
      </c>
      <c r="F1711" t="s">
        <v>295</v>
      </c>
      <c r="G1711" s="1">
        <f>45932</f>
        <v>45932</v>
      </c>
      <c r="H1711" t="s">
        <v>2422</v>
      </c>
      <c r="I1711" s="2">
        <v>2952.2</v>
      </c>
      <c r="J1711" s="2">
        <v>1962.74</v>
      </c>
      <c r="K1711" s="2">
        <v>989.46</v>
      </c>
      <c r="L1711" s="2">
        <v>33.520000000000003</v>
      </c>
      <c r="M1711" s="2">
        <v>2952.2</v>
      </c>
      <c r="N1711" s="2">
        <v>1962.74</v>
      </c>
      <c r="O1711" s="2">
        <v>947.46</v>
      </c>
      <c r="P1711" s="2">
        <v>33.520000000000003</v>
      </c>
    </row>
    <row r="1712" spans="1:16" x14ac:dyDescent="0.25">
      <c r="A1712" t="s">
        <v>15</v>
      </c>
      <c r="B1712" t="s">
        <v>2016</v>
      </c>
      <c r="C1712" t="s">
        <v>252</v>
      </c>
      <c r="D1712" t="s">
        <v>2135</v>
      </c>
      <c r="E1712" t="s">
        <v>47</v>
      </c>
      <c r="F1712" t="s">
        <v>295</v>
      </c>
      <c r="G1712" s="1">
        <f>45932</f>
        <v>45932</v>
      </c>
      <c r="H1712" t="s">
        <v>2422</v>
      </c>
      <c r="I1712" s="2">
        <v>3450.7</v>
      </c>
      <c r="J1712" s="2">
        <v>2393.98</v>
      </c>
      <c r="K1712" s="2">
        <v>1056.72</v>
      </c>
      <c r="L1712" s="2">
        <v>30.62</v>
      </c>
      <c r="M1712" s="2">
        <v>3450.7</v>
      </c>
      <c r="N1712" s="2">
        <v>2157.71</v>
      </c>
      <c r="O1712" s="2">
        <v>1261.72</v>
      </c>
      <c r="P1712" s="2">
        <v>37.47</v>
      </c>
    </row>
    <row r="1713" spans="1:16" x14ac:dyDescent="0.25">
      <c r="A1713" t="s">
        <v>15</v>
      </c>
      <c r="B1713" t="s">
        <v>2016</v>
      </c>
      <c r="C1713" t="s">
        <v>252</v>
      </c>
      <c r="D1713" t="s">
        <v>2136</v>
      </c>
      <c r="E1713" t="s">
        <v>47</v>
      </c>
      <c r="F1713" t="s">
        <v>265</v>
      </c>
      <c r="G1713" s="1">
        <f>45933</f>
        <v>45933</v>
      </c>
      <c r="H1713" t="s">
        <v>2422</v>
      </c>
      <c r="I1713" s="2">
        <v>495.86</v>
      </c>
      <c r="J1713" s="2">
        <v>272.81</v>
      </c>
      <c r="K1713" s="2">
        <v>223.05</v>
      </c>
      <c r="L1713" s="2">
        <v>44.98</v>
      </c>
      <c r="M1713" s="2">
        <v>495.86</v>
      </c>
      <c r="N1713" s="2">
        <v>448.21</v>
      </c>
      <c r="O1713" s="2">
        <v>-43.35</v>
      </c>
      <c r="P1713" s="2">
        <v>9.61</v>
      </c>
    </row>
    <row r="1714" spans="1:16" x14ac:dyDescent="0.25">
      <c r="A1714" t="s">
        <v>15</v>
      </c>
      <c r="B1714" t="s">
        <v>2016</v>
      </c>
      <c r="C1714" t="s">
        <v>252</v>
      </c>
      <c r="D1714" t="s">
        <v>2137</v>
      </c>
      <c r="E1714" t="s">
        <v>47</v>
      </c>
      <c r="F1714" t="s">
        <v>2138</v>
      </c>
      <c r="G1714" s="1">
        <f>45933</f>
        <v>45933</v>
      </c>
      <c r="H1714" t="s">
        <v>2422</v>
      </c>
      <c r="I1714" s="2">
        <v>88129.1</v>
      </c>
      <c r="J1714" s="2">
        <v>62449.45</v>
      </c>
      <c r="K1714" s="2">
        <v>25679.65</v>
      </c>
      <c r="L1714" s="2">
        <v>29.14</v>
      </c>
      <c r="M1714" s="2">
        <v>88129.1</v>
      </c>
      <c r="N1714" s="2">
        <v>63199.45</v>
      </c>
      <c r="O1714" s="2">
        <v>24929.65</v>
      </c>
      <c r="P1714" s="2">
        <v>28.29</v>
      </c>
    </row>
    <row r="1715" spans="1:16" x14ac:dyDescent="0.25">
      <c r="A1715" t="s">
        <v>15</v>
      </c>
      <c r="B1715" t="s">
        <v>2016</v>
      </c>
      <c r="C1715" t="s">
        <v>252</v>
      </c>
      <c r="D1715" t="s">
        <v>2139</v>
      </c>
      <c r="E1715" t="s">
        <v>47</v>
      </c>
      <c r="F1715" t="s">
        <v>299</v>
      </c>
      <c r="G1715" s="1">
        <f>45937</f>
        <v>45937</v>
      </c>
      <c r="H1715" t="s">
        <v>2422</v>
      </c>
      <c r="I1715" s="2">
        <v>312.5</v>
      </c>
      <c r="J1715" s="2">
        <v>202.25</v>
      </c>
      <c r="K1715" s="2">
        <v>110.25</v>
      </c>
      <c r="L1715" s="2">
        <v>35.28</v>
      </c>
      <c r="M1715" s="2">
        <v>312.5</v>
      </c>
      <c r="N1715" s="2">
        <v>202.25</v>
      </c>
      <c r="O1715" s="2">
        <v>100.25</v>
      </c>
      <c r="P1715" s="2">
        <v>35.28</v>
      </c>
    </row>
    <row r="1716" spans="1:16" x14ac:dyDescent="0.25">
      <c r="A1716" t="s">
        <v>15</v>
      </c>
      <c r="B1716" t="s">
        <v>2016</v>
      </c>
      <c r="C1716" t="s">
        <v>252</v>
      </c>
      <c r="D1716" t="s">
        <v>2140</v>
      </c>
      <c r="E1716" t="s">
        <v>47</v>
      </c>
      <c r="F1716" t="s">
        <v>2141</v>
      </c>
      <c r="G1716" s="1">
        <f>45939</f>
        <v>45939</v>
      </c>
      <c r="H1716" t="s">
        <v>2422</v>
      </c>
      <c r="I1716" s="2">
        <v>369.34</v>
      </c>
      <c r="J1716" s="2">
        <v>252</v>
      </c>
      <c r="K1716" s="2">
        <v>117.34</v>
      </c>
      <c r="L1716" s="2">
        <v>31.77</v>
      </c>
      <c r="M1716" s="2">
        <v>369.34</v>
      </c>
      <c r="N1716" s="2">
        <v>252</v>
      </c>
      <c r="O1716" s="2">
        <v>108.34</v>
      </c>
      <c r="P1716" s="2">
        <v>31.77</v>
      </c>
    </row>
    <row r="1717" spans="1:16" x14ac:dyDescent="0.25">
      <c r="A1717" t="s">
        <v>15</v>
      </c>
      <c r="B1717" t="s">
        <v>2016</v>
      </c>
      <c r="C1717" t="s">
        <v>252</v>
      </c>
      <c r="D1717" t="s">
        <v>2142</v>
      </c>
      <c r="E1717" t="s">
        <v>47</v>
      </c>
      <c r="F1717" t="s">
        <v>1259</v>
      </c>
      <c r="G1717" s="1">
        <f>45945</f>
        <v>45945</v>
      </c>
      <c r="H1717" t="s">
        <v>2422</v>
      </c>
      <c r="I1717" s="2">
        <v>12440.9</v>
      </c>
      <c r="J1717" s="2">
        <v>8321.86</v>
      </c>
      <c r="K1717" s="2">
        <v>4119.04</v>
      </c>
      <c r="L1717" s="2">
        <v>33.11</v>
      </c>
      <c r="M1717" s="2">
        <v>2864.5</v>
      </c>
      <c r="N1717" s="2">
        <v>1834.05</v>
      </c>
      <c r="O1717" s="2">
        <v>989.45</v>
      </c>
      <c r="P1717" s="2">
        <v>35.97</v>
      </c>
    </row>
    <row r="1718" spans="1:16" x14ac:dyDescent="0.25">
      <c r="A1718" t="s">
        <v>15</v>
      </c>
      <c r="B1718" t="s">
        <v>2016</v>
      </c>
      <c r="C1718" t="s">
        <v>252</v>
      </c>
      <c r="D1718" t="s">
        <v>2143</v>
      </c>
      <c r="E1718" t="s">
        <v>47</v>
      </c>
      <c r="F1718" t="s">
        <v>267</v>
      </c>
      <c r="G1718" s="1">
        <f>45946</f>
        <v>45946</v>
      </c>
      <c r="H1718" t="s">
        <v>2422</v>
      </c>
      <c r="I1718" s="2">
        <v>6490</v>
      </c>
      <c r="J1718" s="2">
        <v>4548.7299999999996</v>
      </c>
      <c r="K1718" s="2">
        <v>1941.27</v>
      </c>
      <c r="L1718" s="2">
        <v>29.91</v>
      </c>
      <c r="M1718" s="2">
        <v>3107.2</v>
      </c>
      <c r="N1718" s="2">
        <v>2169.77</v>
      </c>
      <c r="O1718" s="2">
        <v>837.67</v>
      </c>
      <c r="P1718" s="2">
        <v>30.17</v>
      </c>
    </row>
    <row r="1719" spans="1:16" x14ac:dyDescent="0.25">
      <c r="A1719" t="s">
        <v>15</v>
      </c>
      <c r="B1719" t="s">
        <v>2016</v>
      </c>
      <c r="C1719" t="s">
        <v>252</v>
      </c>
      <c r="D1719" t="s">
        <v>2144</v>
      </c>
      <c r="E1719" t="s">
        <v>47</v>
      </c>
      <c r="F1719" t="s">
        <v>856</v>
      </c>
      <c r="G1719" s="1">
        <f>45946</f>
        <v>45946</v>
      </c>
      <c r="H1719" t="s">
        <v>2422</v>
      </c>
      <c r="I1719" s="2">
        <v>6345</v>
      </c>
      <c r="J1719" s="2">
        <v>3692.5</v>
      </c>
      <c r="K1719" s="2">
        <v>2652.5</v>
      </c>
      <c r="L1719" s="2">
        <v>41.8</v>
      </c>
      <c r="M1719" s="2">
        <v>0</v>
      </c>
      <c r="N1719" s="2">
        <v>0</v>
      </c>
      <c r="O1719" s="2">
        <v>0</v>
      </c>
      <c r="P1719" s="2">
        <v>0</v>
      </c>
    </row>
    <row r="1720" spans="1:16" x14ac:dyDescent="0.25">
      <c r="A1720" t="s">
        <v>15</v>
      </c>
      <c r="B1720" t="s">
        <v>2016</v>
      </c>
      <c r="C1720" t="s">
        <v>252</v>
      </c>
      <c r="D1720" t="s">
        <v>2145</v>
      </c>
      <c r="E1720" t="s">
        <v>47</v>
      </c>
      <c r="F1720" t="s">
        <v>2146</v>
      </c>
      <c r="G1720" s="1">
        <f>45946</f>
        <v>45946</v>
      </c>
      <c r="H1720" t="s">
        <v>2422</v>
      </c>
      <c r="I1720" s="2">
        <v>1727.8</v>
      </c>
      <c r="J1720" s="2">
        <v>1161.6199999999999</v>
      </c>
      <c r="K1720" s="2">
        <v>566.17999999999995</v>
      </c>
      <c r="L1720" s="2">
        <v>32.770000000000003</v>
      </c>
      <c r="M1720" s="2">
        <v>1727.8</v>
      </c>
      <c r="N1720" s="2">
        <v>1161.6199999999999</v>
      </c>
      <c r="O1720" s="2">
        <v>528.14</v>
      </c>
      <c r="P1720" s="2">
        <v>32.770000000000003</v>
      </c>
    </row>
    <row r="1721" spans="1:16" x14ac:dyDescent="0.25">
      <c r="A1721" t="s">
        <v>15</v>
      </c>
      <c r="B1721" t="s">
        <v>2016</v>
      </c>
      <c r="C1721" t="s">
        <v>252</v>
      </c>
      <c r="D1721" t="s">
        <v>2147</v>
      </c>
      <c r="E1721" t="s">
        <v>47</v>
      </c>
      <c r="F1721" t="s">
        <v>1259</v>
      </c>
      <c r="G1721" s="1">
        <f>45950</f>
        <v>45950</v>
      </c>
      <c r="H1721" t="s">
        <v>2422</v>
      </c>
      <c r="I1721" s="2">
        <v>719</v>
      </c>
      <c r="J1721" s="2">
        <v>385.5</v>
      </c>
      <c r="K1721" s="2">
        <v>333.5</v>
      </c>
      <c r="L1721" s="2">
        <v>46.38</v>
      </c>
      <c r="M1721" s="2">
        <v>719</v>
      </c>
      <c r="N1721" s="2">
        <v>385.5</v>
      </c>
      <c r="O1721" s="2">
        <v>320.5</v>
      </c>
      <c r="P1721" s="2">
        <v>46.38</v>
      </c>
    </row>
    <row r="1722" spans="1:16" x14ac:dyDescent="0.25">
      <c r="A1722" t="s">
        <v>15</v>
      </c>
      <c r="B1722" t="s">
        <v>2016</v>
      </c>
      <c r="C1722" t="s">
        <v>252</v>
      </c>
      <c r="D1722" t="s">
        <v>2148</v>
      </c>
      <c r="E1722" t="s">
        <v>47</v>
      </c>
      <c r="F1722" t="s">
        <v>301</v>
      </c>
      <c r="G1722" s="1">
        <f>45951</f>
        <v>45951</v>
      </c>
      <c r="H1722" t="s">
        <v>2422</v>
      </c>
      <c r="I1722" s="2">
        <v>647.65</v>
      </c>
      <c r="J1722" s="2">
        <v>422</v>
      </c>
      <c r="K1722" s="2">
        <v>225.65</v>
      </c>
      <c r="L1722" s="2">
        <v>34.840000000000003</v>
      </c>
      <c r="M1722" s="2">
        <v>647.65</v>
      </c>
      <c r="N1722" s="2">
        <v>422</v>
      </c>
      <c r="O1722" s="2">
        <v>165.65</v>
      </c>
      <c r="P1722" s="2">
        <v>34.840000000000003</v>
      </c>
    </row>
    <row r="1723" spans="1:16" x14ac:dyDescent="0.25">
      <c r="A1723" t="s">
        <v>15</v>
      </c>
      <c r="B1723" t="s">
        <v>2016</v>
      </c>
      <c r="C1723" t="s">
        <v>252</v>
      </c>
      <c r="D1723" t="s">
        <v>2149</v>
      </c>
      <c r="E1723" t="s">
        <v>47</v>
      </c>
      <c r="F1723" t="s">
        <v>841</v>
      </c>
      <c r="G1723" s="1">
        <f>45952</f>
        <v>45952</v>
      </c>
      <c r="H1723" t="s">
        <v>2422</v>
      </c>
      <c r="I1723" s="2">
        <v>810.2</v>
      </c>
      <c r="J1723" s="2">
        <v>499.86</v>
      </c>
      <c r="K1723" s="2">
        <v>310.33999999999997</v>
      </c>
      <c r="L1723" s="2">
        <v>38.299999999999997</v>
      </c>
      <c r="M1723" s="2">
        <v>810.2</v>
      </c>
      <c r="N1723" s="2">
        <v>499.86</v>
      </c>
      <c r="O1723" s="2">
        <v>273.33999999999997</v>
      </c>
      <c r="P1723" s="2">
        <v>38.299999999999997</v>
      </c>
    </row>
    <row r="1724" spans="1:16" x14ac:dyDescent="0.25">
      <c r="A1724" t="s">
        <v>15</v>
      </c>
      <c r="B1724" t="s">
        <v>2016</v>
      </c>
      <c r="C1724" t="s">
        <v>252</v>
      </c>
      <c r="D1724" t="s">
        <v>2150</v>
      </c>
      <c r="E1724" t="s">
        <v>47</v>
      </c>
      <c r="F1724" t="s">
        <v>1067</v>
      </c>
      <c r="G1724" s="1">
        <f>45953</f>
        <v>45953</v>
      </c>
      <c r="H1724" t="s">
        <v>2422</v>
      </c>
      <c r="I1724" s="2">
        <v>447.2</v>
      </c>
      <c r="J1724" s="2">
        <v>270.26</v>
      </c>
      <c r="K1724" s="2">
        <v>176.94</v>
      </c>
      <c r="L1724" s="2">
        <v>39.57</v>
      </c>
      <c r="M1724" s="2">
        <v>447.2</v>
      </c>
      <c r="N1724" s="2">
        <v>270.26</v>
      </c>
      <c r="O1724" s="2">
        <v>131.94</v>
      </c>
      <c r="P1724" s="2">
        <v>39.57</v>
      </c>
    </row>
    <row r="1725" spans="1:16" x14ac:dyDescent="0.25">
      <c r="A1725" t="s">
        <v>15</v>
      </c>
      <c r="B1725" t="s">
        <v>2016</v>
      </c>
      <c r="C1725" t="s">
        <v>252</v>
      </c>
      <c r="D1725" t="s">
        <v>2151</v>
      </c>
      <c r="E1725" t="s">
        <v>47</v>
      </c>
      <c r="F1725" t="s">
        <v>269</v>
      </c>
      <c r="G1725" s="1">
        <f>45957</f>
        <v>45957</v>
      </c>
      <c r="H1725" t="s">
        <v>2422</v>
      </c>
      <c r="I1725" s="2">
        <v>1003</v>
      </c>
      <c r="J1725" s="2">
        <v>686.73</v>
      </c>
      <c r="K1725" s="2">
        <v>316.27</v>
      </c>
      <c r="L1725" s="2">
        <v>31.53</v>
      </c>
      <c r="M1725" s="2">
        <v>1003</v>
      </c>
      <c r="N1725" s="2">
        <v>686.73</v>
      </c>
      <c r="O1725" s="2">
        <v>263.27</v>
      </c>
      <c r="P1725" s="2">
        <v>31.53</v>
      </c>
    </row>
    <row r="1726" spans="1:16" x14ac:dyDescent="0.25">
      <c r="A1726" t="s">
        <v>15</v>
      </c>
      <c r="B1726" t="s">
        <v>2016</v>
      </c>
      <c r="C1726" t="s">
        <v>252</v>
      </c>
      <c r="D1726" t="s">
        <v>2152</v>
      </c>
      <c r="E1726" t="s">
        <v>47</v>
      </c>
      <c r="F1726" t="s">
        <v>295</v>
      </c>
      <c r="G1726" s="1">
        <f>45959</f>
        <v>45959</v>
      </c>
      <c r="H1726" t="s">
        <v>2422</v>
      </c>
      <c r="I1726" s="2">
        <v>18355.8</v>
      </c>
      <c r="J1726" s="2">
        <v>12764.51</v>
      </c>
      <c r="K1726" s="2">
        <v>5591.29</v>
      </c>
      <c r="L1726" s="2">
        <v>30.46</v>
      </c>
      <c r="M1726" s="2">
        <v>0</v>
      </c>
      <c r="N1726" s="2">
        <v>0</v>
      </c>
      <c r="O1726" s="2">
        <v>0</v>
      </c>
      <c r="P1726" s="2">
        <v>0</v>
      </c>
    </row>
    <row r="1727" spans="1:16" x14ac:dyDescent="0.25">
      <c r="A1727" t="s">
        <v>15</v>
      </c>
      <c r="B1727" t="s">
        <v>2016</v>
      </c>
      <c r="C1727" t="s">
        <v>252</v>
      </c>
      <c r="D1727" t="s">
        <v>2153</v>
      </c>
      <c r="E1727" t="s">
        <v>47</v>
      </c>
      <c r="F1727" t="s">
        <v>1429</v>
      </c>
      <c r="G1727" s="1">
        <f>45960</f>
        <v>45960</v>
      </c>
      <c r="H1727" t="s">
        <v>2422</v>
      </c>
      <c r="I1727" s="2">
        <v>2720.2</v>
      </c>
      <c r="J1727" s="2">
        <v>1950.64</v>
      </c>
      <c r="K1727" s="2">
        <v>769.56</v>
      </c>
      <c r="L1727" s="2">
        <v>28.29</v>
      </c>
      <c r="M1727" s="2">
        <v>2720.2</v>
      </c>
      <c r="N1727" s="2">
        <v>1950.64</v>
      </c>
      <c r="O1727" s="2">
        <v>621.55999999999995</v>
      </c>
      <c r="P1727" s="2">
        <v>28.29</v>
      </c>
    </row>
    <row r="1728" spans="1:16" x14ac:dyDescent="0.25">
      <c r="A1728" t="s">
        <v>15</v>
      </c>
      <c r="B1728" t="s">
        <v>2016</v>
      </c>
      <c r="C1728" t="s">
        <v>252</v>
      </c>
      <c r="D1728" t="s">
        <v>2154</v>
      </c>
      <c r="E1728" t="s">
        <v>47</v>
      </c>
      <c r="F1728" t="s">
        <v>265</v>
      </c>
      <c r="G1728" s="1">
        <f>45961</f>
        <v>45961</v>
      </c>
      <c r="H1728" t="s">
        <v>2422</v>
      </c>
      <c r="I1728" s="2">
        <v>228</v>
      </c>
      <c r="J1728" s="2">
        <v>114</v>
      </c>
      <c r="K1728" s="2">
        <v>114</v>
      </c>
      <c r="L1728" s="2">
        <v>50</v>
      </c>
      <c r="M1728" s="2">
        <v>228</v>
      </c>
      <c r="N1728" s="2">
        <v>114</v>
      </c>
      <c r="O1728" s="2">
        <v>70</v>
      </c>
      <c r="P1728" s="2">
        <v>50</v>
      </c>
    </row>
    <row r="1729" spans="1:16" x14ac:dyDescent="0.25">
      <c r="A1729" t="s">
        <v>15</v>
      </c>
      <c r="B1729" t="s">
        <v>2016</v>
      </c>
      <c r="C1729" t="s">
        <v>252</v>
      </c>
      <c r="D1729" t="s">
        <v>2155</v>
      </c>
      <c r="E1729" t="s">
        <v>47</v>
      </c>
      <c r="F1729" t="s">
        <v>2156</v>
      </c>
      <c r="G1729" s="1">
        <f>45952</f>
        <v>45952</v>
      </c>
      <c r="H1729" t="s">
        <v>2422</v>
      </c>
      <c r="I1729" s="2">
        <v>210</v>
      </c>
      <c r="J1729" s="2">
        <v>64</v>
      </c>
      <c r="K1729" s="2">
        <v>146</v>
      </c>
      <c r="L1729" s="2">
        <v>69.52</v>
      </c>
      <c r="M1729" s="2">
        <v>210</v>
      </c>
      <c r="N1729" s="2">
        <v>64</v>
      </c>
      <c r="O1729" s="2">
        <v>146</v>
      </c>
      <c r="P1729" s="2">
        <v>69.52</v>
      </c>
    </row>
    <row r="1730" spans="1:16" x14ac:dyDescent="0.25">
      <c r="A1730" t="s">
        <v>15</v>
      </c>
      <c r="B1730" t="s">
        <v>2016</v>
      </c>
      <c r="C1730" t="s">
        <v>252</v>
      </c>
      <c r="D1730" t="s">
        <v>2157</v>
      </c>
      <c r="E1730" t="s">
        <v>47</v>
      </c>
      <c r="F1730" t="s">
        <v>2158</v>
      </c>
      <c r="G1730" s="1">
        <f>45940</f>
        <v>45940</v>
      </c>
      <c r="H1730" t="s">
        <v>2422</v>
      </c>
      <c r="I1730" s="2">
        <v>4600</v>
      </c>
      <c r="J1730" s="2">
        <v>2624.19</v>
      </c>
      <c r="K1730" s="2">
        <v>1975.81</v>
      </c>
      <c r="L1730" s="2">
        <v>42.95</v>
      </c>
      <c r="M1730" s="2">
        <v>0</v>
      </c>
      <c r="N1730" s="2">
        <v>64</v>
      </c>
      <c r="O1730" s="2">
        <v>0</v>
      </c>
      <c r="P1730" s="2">
        <v>0</v>
      </c>
    </row>
    <row r="1731" spans="1:16" x14ac:dyDescent="0.25">
      <c r="A1731" t="s">
        <v>15</v>
      </c>
      <c r="B1731" t="s">
        <v>2016</v>
      </c>
      <c r="C1731" t="s">
        <v>17</v>
      </c>
      <c r="D1731" t="s">
        <v>2159</v>
      </c>
      <c r="E1731" t="s">
        <v>47</v>
      </c>
      <c r="F1731" t="s">
        <v>657</v>
      </c>
      <c r="G1731" s="1">
        <f>45943</f>
        <v>45943</v>
      </c>
      <c r="H1731" t="s">
        <v>2422</v>
      </c>
      <c r="I1731" s="2">
        <v>2366.58</v>
      </c>
      <c r="J1731" s="2">
        <v>1142.24</v>
      </c>
      <c r="K1731" s="2">
        <v>1224.3399999999999</v>
      </c>
      <c r="L1731" s="2">
        <v>51.73</v>
      </c>
      <c r="M1731" s="2">
        <v>2366.58</v>
      </c>
      <c r="N1731" s="2">
        <v>1270.42</v>
      </c>
      <c r="O1731" s="2">
        <v>998.16</v>
      </c>
      <c r="P1731" s="2">
        <v>46.32</v>
      </c>
    </row>
    <row r="1732" spans="1:16" x14ac:dyDescent="0.25">
      <c r="A1732" t="s">
        <v>15</v>
      </c>
      <c r="B1732" t="s">
        <v>2016</v>
      </c>
      <c r="C1732" t="s">
        <v>17</v>
      </c>
      <c r="D1732" t="s">
        <v>2160</v>
      </c>
      <c r="E1732" t="s">
        <v>47</v>
      </c>
      <c r="F1732" t="s">
        <v>318</v>
      </c>
      <c r="G1732" s="1">
        <f>45932</f>
        <v>45932</v>
      </c>
      <c r="H1732" t="s">
        <v>2422</v>
      </c>
      <c r="I1732" s="2">
        <v>1668</v>
      </c>
      <c r="J1732" s="2">
        <v>1128.9100000000001</v>
      </c>
      <c r="K1732" s="2">
        <v>539.09</v>
      </c>
      <c r="L1732" s="2">
        <v>32.32</v>
      </c>
      <c r="M1732" s="2">
        <v>1668</v>
      </c>
      <c r="N1732" s="2">
        <v>1128.9100000000001</v>
      </c>
      <c r="O1732" s="2">
        <v>448.09</v>
      </c>
      <c r="P1732" s="2">
        <v>32.32</v>
      </c>
    </row>
    <row r="1733" spans="1:16" x14ac:dyDescent="0.25">
      <c r="A1733" t="s">
        <v>15</v>
      </c>
      <c r="B1733" t="s">
        <v>2016</v>
      </c>
      <c r="C1733" t="s">
        <v>17</v>
      </c>
      <c r="D1733" t="s">
        <v>2161</v>
      </c>
      <c r="E1733" t="s">
        <v>47</v>
      </c>
      <c r="F1733" t="s">
        <v>2162</v>
      </c>
      <c r="G1733" s="1">
        <f>45936</f>
        <v>45936</v>
      </c>
      <c r="H1733" t="s">
        <v>2422</v>
      </c>
      <c r="I1733" s="2">
        <v>6826.4</v>
      </c>
      <c r="J1733" s="2">
        <v>4589.96</v>
      </c>
      <c r="K1733" s="2">
        <v>2236.44</v>
      </c>
      <c r="L1733" s="2">
        <v>32.76</v>
      </c>
      <c r="M1733" s="2">
        <v>6826.4</v>
      </c>
      <c r="N1733" s="2">
        <v>4532.76</v>
      </c>
      <c r="O1733" s="2">
        <v>2108.64</v>
      </c>
      <c r="P1733" s="2">
        <v>33.6</v>
      </c>
    </row>
    <row r="1734" spans="1:16" x14ac:dyDescent="0.25">
      <c r="A1734" t="s">
        <v>15</v>
      </c>
      <c r="B1734" t="s">
        <v>2016</v>
      </c>
      <c r="C1734" t="s">
        <v>17</v>
      </c>
      <c r="D1734" t="s">
        <v>2163</v>
      </c>
      <c r="E1734" t="s">
        <v>47</v>
      </c>
      <c r="F1734" t="s">
        <v>28</v>
      </c>
      <c r="G1734" s="1">
        <f>45936</f>
        <v>45936</v>
      </c>
      <c r="H1734" t="s">
        <v>2422</v>
      </c>
      <c r="I1734" s="2">
        <v>210</v>
      </c>
      <c r="J1734" s="2">
        <v>144.5</v>
      </c>
      <c r="K1734" s="2">
        <v>65.5</v>
      </c>
      <c r="L1734" s="2">
        <v>31.19</v>
      </c>
      <c r="M1734" s="2">
        <v>210</v>
      </c>
      <c r="N1734" s="2">
        <v>144.5</v>
      </c>
      <c r="O1734" s="2">
        <v>15.5</v>
      </c>
      <c r="P1734" s="2">
        <v>31.19</v>
      </c>
    </row>
    <row r="1735" spans="1:16" x14ac:dyDescent="0.25">
      <c r="A1735" t="s">
        <v>15</v>
      </c>
      <c r="B1735" t="s">
        <v>2016</v>
      </c>
      <c r="C1735" t="s">
        <v>17</v>
      </c>
      <c r="D1735" t="s">
        <v>2164</v>
      </c>
      <c r="E1735" t="s">
        <v>47</v>
      </c>
      <c r="F1735" t="s">
        <v>320</v>
      </c>
      <c r="G1735" s="1">
        <f>45936</f>
        <v>45936</v>
      </c>
      <c r="H1735" t="s">
        <v>2422</v>
      </c>
      <c r="I1735" s="2">
        <v>319.5</v>
      </c>
      <c r="J1735" s="2">
        <v>211.25</v>
      </c>
      <c r="K1735" s="2">
        <v>108.25</v>
      </c>
      <c r="L1735" s="2">
        <v>33.880000000000003</v>
      </c>
      <c r="M1735" s="2">
        <v>319.5</v>
      </c>
      <c r="N1735" s="2">
        <v>211.25</v>
      </c>
      <c r="O1735" s="2">
        <v>69.25</v>
      </c>
      <c r="P1735" s="2">
        <v>33.880000000000003</v>
      </c>
    </row>
    <row r="1736" spans="1:16" x14ac:dyDescent="0.25">
      <c r="A1736" t="s">
        <v>15</v>
      </c>
      <c r="B1736" t="s">
        <v>2016</v>
      </c>
      <c r="C1736" t="s">
        <v>17</v>
      </c>
      <c r="D1736" t="s">
        <v>2165</v>
      </c>
      <c r="E1736" t="s">
        <v>47</v>
      </c>
      <c r="F1736" t="s">
        <v>316</v>
      </c>
      <c r="G1736" s="1">
        <f>45937</f>
        <v>45937</v>
      </c>
      <c r="H1736" t="s">
        <v>2422</v>
      </c>
      <c r="I1736" s="2">
        <v>985</v>
      </c>
      <c r="J1736" s="2">
        <v>677.79</v>
      </c>
      <c r="K1736" s="2">
        <v>307.20999999999998</v>
      </c>
      <c r="L1736" s="2">
        <v>31.19</v>
      </c>
      <c r="M1736" s="2">
        <v>985</v>
      </c>
      <c r="N1736" s="2">
        <v>528.89</v>
      </c>
      <c r="O1736" s="2">
        <v>438.17</v>
      </c>
      <c r="P1736" s="2">
        <v>46.31</v>
      </c>
    </row>
    <row r="1737" spans="1:16" x14ac:dyDescent="0.25">
      <c r="A1737" t="s">
        <v>15</v>
      </c>
      <c r="B1737" t="s">
        <v>2016</v>
      </c>
      <c r="C1737" t="s">
        <v>17</v>
      </c>
      <c r="D1737" t="s">
        <v>2166</v>
      </c>
      <c r="E1737" t="s">
        <v>19</v>
      </c>
      <c r="F1737" t="s">
        <v>2167</v>
      </c>
      <c r="G1737" s="1">
        <f>45940</f>
        <v>45940</v>
      </c>
      <c r="H1737" t="s">
        <v>1755</v>
      </c>
      <c r="I1737" s="2">
        <v>2689.8</v>
      </c>
      <c r="J1737" s="2">
        <v>1674.84</v>
      </c>
      <c r="K1737" s="2">
        <v>1014.96</v>
      </c>
      <c r="L1737" s="2">
        <v>37.729999999999997</v>
      </c>
      <c r="M1737" s="2">
        <v>2689.8</v>
      </c>
      <c r="N1737" s="2">
        <v>1674.83</v>
      </c>
      <c r="O1737" s="2">
        <v>923.97</v>
      </c>
      <c r="P1737" s="2">
        <v>37.729999999999997</v>
      </c>
    </row>
    <row r="1738" spans="1:16" x14ac:dyDescent="0.25">
      <c r="A1738" t="s">
        <v>15</v>
      </c>
      <c r="B1738" t="s">
        <v>2016</v>
      </c>
      <c r="C1738" t="s">
        <v>17</v>
      </c>
      <c r="D1738" t="s">
        <v>2168</v>
      </c>
      <c r="E1738" t="s">
        <v>47</v>
      </c>
      <c r="F1738" t="s">
        <v>322</v>
      </c>
      <c r="G1738" s="1">
        <f>45943</f>
        <v>45943</v>
      </c>
      <c r="H1738" t="s">
        <v>2422</v>
      </c>
      <c r="I1738" s="2">
        <v>682.19</v>
      </c>
      <c r="J1738" s="2">
        <v>461.04</v>
      </c>
      <c r="K1738" s="2">
        <v>221.15</v>
      </c>
      <c r="L1738" s="2">
        <v>32.42</v>
      </c>
      <c r="M1738" s="2">
        <v>682.19</v>
      </c>
      <c r="N1738" s="2">
        <v>461.08</v>
      </c>
      <c r="O1738" s="2">
        <v>217.78</v>
      </c>
      <c r="P1738" s="2">
        <v>32.409999999999997</v>
      </c>
    </row>
    <row r="1739" spans="1:16" x14ac:dyDescent="0.25">
      <c r="A1739" t="s">
        <v>15</v>
      </c>
      <c r="B1739" t="s">
        <v>2016</v>
      </c>
      <c r="C1739" t="s">
        <v>17</v>
      </c>
      <c r="D1739" t="s">
        <v>2169</v>
      </c>
      <c r="E1739" t="s">
        <v>47</v>
      </c>
      <c r="F1739" t="s">
        <v>1836</v>
      </c>
      <c r="G1739" s="1">
        <f>45945</f>
        <v>45945</v>
      </c>
      <c r="H1739" t="s">
        <v>2422</v>
      </c>
      <c r="I1739" s="2">
        <v>883.1</v>
      </c>
      <c r="J1739" s="2">
        <v>567</v>
      </c>
      <c r="K1739" s="2">
        <v>316.10000000000002</v>
      </c>
      <c r="L1739" s="2">
        <v>35.79</v>
      </c>
      <c r="M1739" s="2">
        <v>883.1</v>
      </c>
      <c r="N1739" s="2">
        <v>567</v>
      </c>
      <c r="O1739" s="2">
        <v>298.10000000000002</v>
      </c>
      <c r="P1739" s="2">
        <v>35.79</v>
      </c>
    </row>
    <row r="1740" spans="1:16" x14ac:dyDescent="0.25">
      <c r="A1740" t="s">
        <v>15</v>
      </c>
      <c r="B1740" t="s">
        <v>2016</v>
      </c>
      <c r="C1740" t="s">
        <v>17</v>
      </c>
      <c r="D1740" t="s">
        <v>2170</v>
      </c>
      <c r="E1740" t="s">
        <v>47</v>
      </c>
      <c r="F1740" t="s">
        <v>322</v>
      </c>
      <c r="G1740" s="1">
        <f>45947</f>
        <v>45947</v>
      </c>
      <c r="H1740" t="s">
        <v>2422</v>
      </c>
      <c r="I1740" s="2">
        <v>2123.15</v>
      </c>
      <c r="J1740" s="2">
        <v>1500.93</v>
      </c>
      <c r="K1740" s="2">
        <v>622.22</v>
      </c>
      <c r="L1740" s="2">
        <v>29.31</v>
      </c>
      <c r="M1740" s="2">
        <v>2123.15</v>
      </c>
      <c r="N1740" s="2">
        <v>1500.93</v>
      </c>
      <c r="O1740" s="2">
        <v>597.16</v>
      </c>
      <c r="P1740" s="2">
        <v>29.31</v>
      </c>
    </row>
    <row r="1741" spans="1:16" x14ac:dyDescent="0.25">
      <c r="A1741" t="s">
        <v>15</v>
      </c>
      <c r="B1741" t="s">
        <v>2016</v>
      </c>
      <c r="C1741" t="s">
        <v>17</v>
      </c>
      <c r="D1741" t="s">
        <v>2171</v>
      </c>
      <c r="E1741" t="s">
        <v>47</v>
      </c>
      <c r="F1741" t="s">
        <v>320</v>
      </c>
      <c r="G1741" s="1">
        <f>45947</f>
        <v>45947</v>
      </c>
      <c r="H1741" t="s">
        <v>2422</v>
      </c>
      <c r="I1741" s="2">
        <v>269.88</v>
      </c>
      <c r="J1741" s="2">
        <v>132.44</v>
      </c>
      <c r="K1741" s="2">
        <v>137.44</v>
      </c>
      <c r="L1741" s="2">
        <v>50.93</v>
      </c>
      <c r="M1741" s="2">
        <v>269.88</v>
      </c>
      <c r="N1741" s="2">
        <v>132.44</v>
      </c>
      <c r="O1741" s="2">
        <v>127.44</v>
      </c>
      <c r="P1741" s="2">
        <v>50.93</v>
      </c>
    </row>
    <row r="1742" spans="1:16" x14ac:dyDescent="0.25">
      <c r="A1742" t="s">
        <v>15</v>
      </c>
      <c r="B1742" t="s">
        <v>2016</v>
      </c>
      <c r="C1742" t="s">
        <v>17</v>
      </c>
      <c r="D1742" t="s">
        <v>2172</v>
      </c>
      <c r="E1742" t="s">
        <v>47</v>
      </c>
      <c r="F1742" t="s">
        <v>26</v>
      </c>
      <c r="G1742" s="1">
        <f>45951</f>
        <v>45951</v>
      </c>
      <c r="H1742" t="s">
        <v>2422</v>
      </c>
      <c r="I1742" s="2">
        <v>508</v>
      </c>
      <c r="J1742" s="2">
        <v>298.27</v>
      </c>
      <c r="K1742" s="2">
        <v>209.73</v>
      </c>
      <c r="L1742" s="2">
        <v>41.29</v>
      </c>
      <c r="M1742" s="2">
        <v>508</v>
      </c>
      <c r="N1742" s="2">
        <v>298.27</v>
      </c>
      <c r="O1742" s="2">
        <v>189.46</v>
      </c>
      <c r="P1742" s="2">
        <v>41.29</v>
      </c>
    </row>
    <row r="1743" spans="1:16" x14ac:dyDescent="0.25">
      <c r="A1743" t="s">
        <v>15</v>
      </c>
      <c r="B1743" t="s">
        <v>2016</v>
      </c>
      <c r="C1743" t="s">
        <v>17</v>
      </c>
      <c r="D1743" t="s">
        <v>2173</v>
      </c>
      <c r="E1743" t="s">
        <v>47</v>
      </c>
      <c r="F1743" t="s">
        <v>388</v>
      </c>
      <c r="G1743" s="1">
        <f>45953</f>
        <v>45953</v>
      </c>
      <c r="H1743" t="s">
        <v>2422</v>
      </c>
      <c r="I1743" s="2">
        <v>377.5</v>
      </c>
      <c r="J1743" s="2">
        <v>242</v>
      </c>
      <c r="K1743" s="2">
        <v>135.5</v>
      </c>
      <c r="L1743" s="2">
        <v>35.89</v>
      </c>
      <c r="M1743" s="2">
        <v>377.5</v>
      </c>
      <c r="N1743" s="2">
        <v>242</v>
      </c>
      <c r="O1743" s="2">
        <v>108.5</v>
      </c>
      <c r="P1743" s="2">
        <v>35.89</v>
      </c>
    </row>
    <row r="1744" spans="1:16" x14ac:dyDescent="0.25">
      <c r="A1744" t="s">
        <v>15</v>
      </c>
      <c r="B1744" t="s">
        <v>2016</v>
      </c>
      <c r="C1744" t="s">
        <v>17</v>
      </c>
      <c r="D1744" t="s">
        <v>2174</v>
      </c>
      <c r="E1744" t="s">
        <v>47</v>
      </c>
      <c r="F1744" t="s">
        <v>322</v>
      </c>
      <c r="G1744" s="1">
        <f>45953</f>
        <v>45953</v>
      </c>
      <c r="H1744" t="s">
        <v>2422</v>
      </c>
      <c r="I1744" s="2">
        <v>213.05</v>
      </c>
      <c r="J1744" s="2">
        <v>117.26</v>
      </c>
      <c r="K1744" s="2">
        <v>95.79</v>
      </c>
      <c r="L1744" s="2">
        <v>44.96</v>
      </c>
      <c r="M1744" s="2">
        <v>213.05</v>
      </c>
      <c r="N1744" s="2">
        <v>117.26</v>
      </c>
      <c r="O1744" s="2">
        <v>71.790000000000006</v>
      </c>
      <c r="P1744" s="2">
        <v>44.96</v>
      </c>
    </row>
    <row r="1745" spans="1:16" x14ac:dyDescent="0.25">
      <c r="A1745" t="s">
        <v>15</v>
      </c>
      <c r="B1745" t="s">
        <v>2016</v>
      </c>
      <c r="C1745" t="s">
        <v>17</v>
      </c>
      <c r="D1745" t="s">
        <v>2175</v>
      </c>
      <c r="E1745" t="s">
        <v>19</v>
      </c>
      <c r="F1745" t="s">
        <v>2176</v>
      </c>
      <c r="G1745" s="1">
        <f>45953</f>
        <v>45953</v>
      </c>
      <c r="H1745" t="s">
        <v>1755</v>
      </c>
      <c r="I1745" s="2">
        <v>487.2</v>
      </c>
      <c r="J1745" s="2">
        <v>327.99</v>
      </c>
      <c r="K1745" s="2">
        <v>159.22</v>
      </c>
      <c r="L1745" s="2">
        <v>32.68</v>
      </c>
      <c r="M1745" s="2">
        <v>487.2</v>
      </c>
      <c r="N1745" s="2">
        <v>327.99</v>
      </c>
      <c r="O1745" s="2">
        <v>150.22</v>
      </c>
      <c r="P1745" s="2">
        <v>32.68</v>
      </c>
    </row>
    <row r="1746" spans="1:16" x14ac:dyDescent="0.25">
      <c r="A1746" t="s">
        <v>15</v>
      </c>
      <c r="B1746" t="s">
        <v>2016</v>
      </c>
      <c r="C1746" t="s">
        <v>17</v>
      </c>
      <c r="D1746" t="s">
        <v>2177</v>
      </c>
      <c r="E1746" t="s">
        <v>47</v>
      </c>
      <c r="F1746" t="s">
        <v>326</v>
      </c>
      <c r="G1746" s="1">
        <f>45957</f>
        <v>45957</v>
      </c>
      <c r="H1746" t="s">
        <v>2422</v>
      </c>
      <c r="I1746" s="2">
        <v>1571</v>
      </c>
      <c r="J1746" s="2">
        <v>1083.76</v>
      </c>
      <c r="K1746" s="2">
        <v>487.24</v>
      </c>
      <c r="L1746" s="2">
        <v>31.01</v>
      </c>
      <c r="M1746" s="2">
        <v>1571</v>
      </c>
      <c r="N1746" s="2">
        <v>492.14</v>
      </c>
      <c r="O1746" s="2">
        <v>1063.8599999999999</v>
      </c>
      <c r="P1746" s="2">
        <v>68.67</v>
      </c>
    </row>
    <row r="1747" spans="1:16" x14ac:dyDescent="0.25">
      <c r="A1747" t="s">
        <v>15</v>
      </c>
      <c r="B1747" t="s">
        <v>2016</v>
      </c>
      <c r="C1747" t="s">
        <v>17</v>
      </c>
      <c r="D1747" t="s">
        <v>2178</v>
      </c>
      <c r="E1747" t="s">
        <v>47</v>
      </c>
      <c r="F1747" t="s">
        <v>896</v>
      </c>
      <c r="G1747" s="1">
        <f>45958</f>
        <v>45958</v>
      </c>
      <c r="H1747" t="s">
        <v>2422</v>
      </c>
      <c r="I1747" s="2">
        <v>2013.2</v>
      </c>
      <c r="J1747" s="2">
        <v>1359.06</v>
      </c>
      <c r="K1747" s="2">
        <v>654.14</v>
      </c>
      <c r="L1747" s="2">
        <v>32.49</v>
      </c>
      <c r="M1747" s="2">
        <v>2013.2</v>
      </c>
      <c r="N1747" s="2">
        <v>1332.16</v>
      </c>
      <c r="O1747" s="2">
        <v>640.04</v>
      </c>
      <c r="P1747" s="2">
        <v>33.83</v>
      </c>
    </row>
    <row r="1748" spans="1:16" x14ac:dyDescent="0.25">
      <c r="A1748" t="s">
        <v>15</v>
      </c>
      <c r="B1748" t="s">
        <v>2016</v>
      </c>
      <c r="C1748" t="s">
        <v>17</v>
      </c>
      <c r="D1748" t="s">
        <v>2179</v>
      </c>
      <c r="E1748" t="s">
        <v>47</v>
      </c>
      <c r="F1748" t="s">
        <v>353</v>
      </c>
      <c r="G1748" s="1">
        <f>45958</f>
        <v>45958</v>
      </c>
      <c r="H1748" t="s">
        <v>2422</v>
      </c>
      <c r="I1748" s="2">
        <v>4954.43</v>
      </c>
      <c r="J1748" s="2">
        <v>3352.79</v>
      </c>
      <c r="K1748" s="2">
        <v>1601.64</v>
      </c>
      <c r="L1748" s="2">
        <v>32.33</v>
      </c>
      <c r="M1748" s="2">
        <v>4954.43</v>
      </c>
      <c r="N1748" s="2">
        <v>3352.79</v>
      </c>
      <c r="O1748" s="2">
        <v>1483.64</v>
      </c>
      <c r="P1748" s="2">
        <v>32.33</v>
      </c>
    </row>
    <row r="1749" spans="1:16" x14ac:dyDescent="0.25">
      <c r="A1749" t="s">
        <v>15</v>
      </c>
      <c r="B1749" t="s">
        <v>2016</v>
      </c>
      <c r="C1749" t="s">
        <v>17</v>
      </c>
      <c r="D1749" t="s">
        <v>2180</v>
      </c>
      <c r="E1749" t="s">
        <v>47</v>
      </c>
      <c r="F1749" t="s">
        <v>320</v>
      </c>
      <c r="G1749" s="1">
        <f>45958</f>
        <v>45958</v>
      </c>
      <c r="H1749" t="s">
        <v>2422</v>
      </c>
      <c r="I1749" s="2">
        <v>2011.8</v>
      </c>
      <c r="J1749" s="2">
        <v>1336.6</v>
      </c>
      <c r="K1749" s="2">
        <v>675.2</v>
      </c>
      <c r="L1749" s="2">
        <v>33.56</v>
      </c>
      <c r="M1749" s="2">
        <v>2011.8</v>
      </c>
      <c r="N1749" s="2">
        <v>1336.6</v>
      </c>
      <c r="O1749" s="2">
        <v>665.2</v>
      </c>
      <c r="P1749" s="2">
        <v>33.56</v>
      </c>
    </row>
    <row r="1750" spans="1:16" x14ac:dyDescent="0.25">
      <c r="A1750" t="s">
        <v>15</v>
      </c>
      <c r="B1750" t="s">
        <v>2016</v>
      </c>
      <c r="C1750" t="s">
        <v>17</v>
      </c>
      <c r="D1750" t="s">
        <v>2181</v>
      </c>
      <c r="E1750" t="s">
        <v>47</v>
      </c>
      <c r="F1750" t="s">
        <v>604</v>
      </c>
      <c r="G1750" s="1">
        <f>45959</f>
        <v>45959</v>
      </c>
      <c r="H1750" t="s">
        <v>2422</v>
      </c>
      <c r="I1750" s="2">
        <v>447.5</v>
      </c>
      <c r="J1750" s="2">
        <v>249.3</v>
      </c>
      <c r="K1750" s="2">
        <v>198.2</v>
      </c>
      <c r="L1750" s="2">
        <v>44.29</v>
      </c>
      <c r="M1750" s="2">
        <v>447.5</v>
      </c>
      <c r="N1750" s="2">
        <v>249.3</v>
      </c>
      <c r="O1750" s="2">
        <v>188.2</v>
      </c>
      <c r="P1750" s="2">
        <v>44.29</v>
      </c>
    </row>
    <row r="1751" spans="1:16" x14ac:dyDescent="0.25">
      <c r="A1751" t="s">
        <v>15</v>
      </c>
      <c r="B1751" t="s">
        <v>2016</v>
      </c>
      <c r="C1751" t="s">
        <v>17</v>
      </c>
      <c r="D1751" t="s">
        <v>2182</v>
      </c>
      <c r="E1751" t="s">
        <v>47</v>
      </c>
      <c r="F1751" t="s">
        <v>20</v>
      </c>
      <c r="G1751" s="1">
        <f>45959</f>
        <v>45959</v>
      </c>
      <c r="H1751" t="s">
        <v>2422</v>
      </c>
      <c r="I1751" s="2">
        <v>830.3</v>
      </c>
      <c r="J1751" s="2">
        <v>506.02</v>
      </c>
      <c r="K1751" s="2">
        <v>324.27999999999997</v>
      </c>
      <c r="L1751" s="2">
        <v>39.06</v>
      </c>
      <c r="M1751" s="2">
        <v>830.3</v>
      </c>
      <c r="N1751" s="2">
        <v>506.02</v>
      </c>
      <c r="O1751" s="2">
        <v>313.27999999999997</v>
      </c>
      <c r="P1751" s="2">
        <v>39.06</v>
      </c>
    </row>
    <row r="1752" spans="1:16" x14ac:dyDescent="0.25">
      <c r="A1752" t="s">
        <v>15</v>
      </c>
      <c r="B1752" t="s">
        <v>2016</v>
      </c>
      <c r="C1752" t="s">
        <v>17</v>
      </c>
      <c r="D1752" t="s">
        <v>2183</v>
      </c>
      <c r="E1752" t="s">
        <v>47</v>
      </c>
      <c r="F1752" t="s">
        <v>326</v>
      </c>
      <c r="G1752" s="1">
        <f>45959</f>
        <v>45959</v>
      </c>
      <c r="H1752" t="s">
        <v>2422</v>
      </c>
      <c r="I1752" s="2">
        <v>790</v>
      </c>
      <c r="J1752" s="2">
        <v>508.72</v>
      </c>
      <c r="K1752" s="2">
        <v>281.27999999999997</v>
      </c>
      <c r="L1752" s="2">
        <v>35.61</v>
      </c>
      <c r="M1752" s="2">
        <v>790</v>
      </c>
      <c r="N1752" s="2">
        <v>508.72</v>
      </c>
      <c r="O1752" s="2">
        <v>272.27999999999997</v>
      </c>
      <c r="P1752" s="2">
        <v>35.61</v>
      </c>
    </row>
    <row r="1753" spans="1:16" x14ac:dyDescent="0.25">
      <c r="A1753" t="s">
        <v>15</v>
      </c>
      <c r="B1753" t="s">
        <v>2016</v>
      </c>
      <c r="C1753" t="s">
        <v>17</v>
      </c>
      <c r="D1753" t="s">
        <v>2184</v>
      </c>
      <c r="E1753" t="s">
        <v>47</v>
      </c>
      <c r="F1753" t="s">
        <v>1090</v>
      </c>
      <c r="G1753" s="1">
        <f>45960</f>
        <v>45960</v>
      </c>
      <c r="H1753" t="s">
        <v>2422</v>
      </c>
      <c r="I1753" s="2">
        <v>164</v>
      </c>
      <c r="J1753" s="2">
        <v>105.6</v>
      </c>
      <c r="K1753" s="2">
        <v>58.4</v>
      </c>
      <c r="L1753" s="2">
        <v>35.61</v>
      </c>
      <c r="M1753" s="2">
        <v>164</v>
      </c>
      <c r="N1753" s="2">
        <v>105.6</v>
      </c>
      <c r="O1753" s="2">
        <v>26.4</v>
      </c>
      <c r="P1753" s="2">
        <v>35.61</v>
      </c>
    </row>
    <row r="1754" spans="1:16" x14ac:dyDescent="0.25">
      <c r="A1754" t="s">
        <v>15</v>
      </c>
      <c r="B1754" t="s">
        <v>2016</v>
      </c>
      <c r="C1754" t="s">
        <v>17</v>
      </c>
      <c r="D1754" t="s">
        <v>2185</v>
      </c>
      <c r="E1754" t="s">
        <v>47</v>
      </c>
      <c r="F1754" t="s">
        <v>322</v>
      </c>
      <c r="G1754" s="1">
        <f>45960</f>
        <v>45960</v>
      </c>
      <c r="H1754" t="s">
        <v>2422</v>
      </c>
      <c r="I1754" s="2">
        <v>431.75</v>
      </c>
      <c r="J1754" s="2">
        <v>245.86</v>
      </c>
      <c r="K1754" s="2">
        <v>185.89</v>
      </c>
      <c r="L1754" s="2">
        <v>43.05</v>
      </c>
      <c r="M1754" s="2">
        <v>431.75</v>
      </c>
      <c r="N1754" s="2">
        <v>245.86</v>
      </c>
      <c r="O1754" s="2">
        <v>127.89</v>
      </c>
      <c r="P1754" s="2">
        <v>43.05</v>
      </c>
    </row>
    <row r="1755" spans="1:16" x14ac:dyDescent="0.25">
      <c r="A1755" t="s">
        <v>15</v>
      </c>
      <c r="B1755" t="s">
        <v>2016</v>
      </c>
      <c r="C1755" t="s">
        <v>17</v>
      </c>
      <c r="D1755" t="s">
        <v>2186</v>
      </c>
      <c r="E1755" t="s">
        <v>47</v>
      </c>
      <c r="F1755" t="s">
        <v>655</v>
      </c>
      <c r="G1755" s="1">
        <f>45961</f>
        <v>45961</v>
      </c>
      <c r="H1755" t="s">
        <v>2422</v>
      </c>
      <c r="I1755" s="2">
        <v>529.4</v>
      </c>
      <c r="J1755" s="2">
        <v>313.39999999999998</v>
      </c>
      <c r="K1755" s="2">
        <v>216</v>
      </c>
      <c r="L1755" s="2">
        <v>40.799999999999997</v>
      </c>
      <c r="M1755" s="2">
        <v>529.4</v>
      </c>
      <c r="N1755" s="2">
        <v>313.39999999999998</v>
      </c>
      <c r="O1755" s="2">
        <v>182</v>
      </c>
      <c r="P1755" s="2">
        <v>40.799999999999997</v>
      </c>
    </row>
    <row r="1756" spans="1:16" x14ac:dyDescent="0.25">
      <c r="A1756" t="s">
        <v>15</v>
      </c>
      <c r="B1756" t="s">
        <v>2016</v>
      </c>
      <c r="C1756" t="s">
        <v>17</v>
      </c>
      <c r="D1756" t="s">
        <v>2187</v>
      </c>
      <c r="E1756" t="s">
        <v>47</v>
      </c>
      <c r="F1756" t="s">
        <v>316</v>
      </c>
      <c r="G1756" s="1">
        <f>45932</f>
        <v>45932</v>
      </c>
      <c r="H1756" t="s">
        <v>2422</v>
      </c>
      <c r="I1756" s="2">
        <v>1028.5</v>
      </c>
      <c r="J1756" s="2">
        <v>667.29</v>
      </c>
      <c r="K1756" s="2">
        <v>361.21</v>
      </c>
      <c r="L1756" s="2">
        <v>35.119999999999997</v>
      </c>
      <c r="M1756" s="2">
        <v>1028.5</v>
      </c>
      <c r="N1756" s="2">
        <v>667.29</v>
      </c>
      <c r="O1756" s="2">
        <v>292.70999999999998</v>
      </c>
      <c r="P1756" s="2">
        <v>35.119999999999997</v>
      </c>
    </row>
    <row r="1757" spans="1:16" x14ac:dyDescent="0.25">
      <c r="A1757" t="s">
        <v>15</v>
      </c>
      <c r="B1757" t="s">
        <v>2188</v>
      </c>
      <c r="C1757" t="s">
        <v>1505</v>
      </c>
      <c r="D1757" t="s">
        <v>2189</v>
      </c>
      <c r="E1757" t="s">
        <v>47</v>
      </c>
      <c r="F1757" t="s">
        <v>1507</v>
      </c>
      <c r="G1757" s="1">
        <f>45979</f>
        <v>45979</v>
      </c>
      <c r="H1757" t="s">
        <v>2422</v>
      </c>
      <c r="I1757" s="2">
        <v>5247</v>
      </c>
      <c r="J1757" s="2">
        <v>3931.1</v>
      </c>
      <c r="K1757" s="2">
        <v>1315.9</v>
      </c>
      <c r="L1757" s="2">
        <v>25.08</v>
      </c>
      <c r="M1757" s="2">
        <v>5247</v>
      </c>
      <c r="N1757" s="2">
        <v>3931.08</v>
      </c>
      <c r="O1757" s="2">
        <v>900.76</v>
      </c>
      <c r="P1757" s="2">
        <v>25.08</v>
      </c>
    </row>
    <row r="1758" spans="1:16" x14ac:dyDescent="0.25">
      <c r="A1758" t="s">
        <v>15</v>
      </c>
      <c r="B1758" t="s">
        <v>2188</v>
      </c>
      <c r="C1758" t="s">
        <v>42</v>
      </c>
      <c r="D1758" t="s">
        <v>2190</v>
      </c>
      <c r="E1758" t="s">
        <v>47</v>
      </c>
      <c r="F1758" t="s">
        <v>2191</v>
      </c>
      <c r="G1758" s="1">
        <f>45978</f>
        <v>45978</v>
      </c>
      <c r="H1758" t="s">
        <v>2422</v>
      </c>
      <c r="I1758" s="2">
        <v>531.82000000000005</v>
      </c>
      <c r="J1758" s="2">
        <v>282.82</v>
      </c>
      <c r="K1758" s="2">
        <v>249</v>
      </c>
      <c r="L1758" s="2">
        <v>46.82</v>
      </c>
      <c r="M1758" s="2">
        <v>531.82000000000005</v>
      </c>
      <c r="N1758" s="2">
        <v>291.33999999999997</v>
      </c>
      <c r="O1758" s="2">
        <v>231.48</v>
      </c>
      <c r="P1758" s="2">
        <v>45.22</v>
      </c>
    </row>
    <row r="1759" spans="1:16" x14ac:dyDescent="0.25">
      <c r="A1759" t="s">
        <v>15</v>
      </c>
      <c r="B1759" t="s">
        <v>2188</v>
      </c>
      <c r="C1759" t="s">
        <v>42</v>
      </c>
      <c r="D1759" t="s">
        <v>2192</v>
      </c>
      <c r="E1759" t="s">
        <v>47</v>
      </c>
      <c r="F1759" t="s">
        <v>44</v>
      </c>
      <c r="G1759" s="1">
        <f>45981</f>
        <v>45981</v>
      </c>
      <c r="H1759" t="s">
        <v>2422</v>
      </c>
      <c r="I1759" s="2">
        <v>665.2</v>
      </c>
      <c r="J1759" s="2">
        <v>365.6</v>
      </c>
      <c r="K1759" s="2">
        <v>299.60000000000002</v>
      </c>
      <c r="L1759" s="2">
        <v>45.04</v>
      </c>
      <c r="M1759" s="2">
        <v>665.2</v>
      </c>
      <c r="N1759" s="2">
        <v>413.6</v>
      </c>
      <c r="O1759" s="2">
        <v>241.6</v>
      </c>
      <c r="P1759" s="2">
        <v>37.82</v>
      </c>
    </row>
    <row r="1760" spans="1:16" x14ac:dyDescent="0.25">
      <c r="A1760" t="s">
        <v>15</v>
      </c>
      <c r="B1760" t="s">
        <v>2188</v>
      </c>
      <c r="C1760" t="s">
        <v>17</v>
      </c>
      <c r="D1760" t="s">
        <v>2193</v>
      </c>
      <c r="E1760" t="s">
        <v>47</v>
      </c>
      <c r="F1760" t="s">
        <v>670</v>
      </c>
      <c r="G1760" s="1">
        <f>45964</f>
        <v>45964</v>
      </c>
      <c r="H1760" t="s">
        <v>1755</v>
      </c>
      <c r="I1760" s="2">
        <v>1245.9000000000001</v>
      </c>
      <c r="J1760" s="2">
        <v>904.23</v>
      </c>
      <c r="K1760" s="2">
        <v>341.67</v>
      </c>
      <c r="L1760" s="2">
        <v>27.42</v>
      </c>
      <c r="M1760" s="2">
        <v>1245.9000000000001</v>
      </c>
      <c r="N1760" s="2">
        <v>886.6</v>
      </c>
      <c r="O1760" s="2">
        <v>318.3</v>
      </c>
      <c r="P1760" s="2">
        <v>28.84</v>
      </c>
    </row>
    <row r="1761" spans="1:16" x14ac:dyDescent="0.25">
      <c r="A1761" t="s">
        <v>15</v>
      </c>
      <c r="B1761" t="s">
        <v>2188</v>
      </c>
      <c r="C1761" t="s">
        <v>17</v>
      </c>
      <c r="D1761" t="s">
        <v>2194</v>
      </c>
      <c r="E1761" t="s">
        <v>47</v>
      </c>
      <c r="F1761" t="s">
        <v>489</v>
      </c>
      <c r="G1761" s="1">
        <f>45965</f>
        <v>45965</v>
      </c>
      <c r="H1761" t="s">
        <v>1755</v>
      </c>
      <c r="I1761" s="2">
        <v>290.8</v>
      </c>
      <c r="J1761" s="2">
        <v>195.12</v>
      </c>
      <c r="K1761" s="2">
        <v>95.68</v>
      </c>
      <c r="L1761" s="2">
        <v>32.9</v>
      </c>
      <c r="M1761" s="2">
        <v>290.8</v>
      </c>
      <c r="N1761" s="2">
        <v>195.12</v>
      </c>
      <c r="O1761" s="2">
        <v>44.18</v>
      </c>
      <c r="P1761" s="2">
        <v>32.9</v>
      </c>
    </row>
    <row r="1762" spans="1:16" x14ac:dyDescent="0.25">
      <c r="A1762" t="s">
        <v>15</v>
      </c>
      <c r="B1762" t="s">
        <v>2188</v>
      </c>
      <c r="C1762" t="s">
        <v>17</v>
      </c>
      <c r="D1762" t="s">
        <v>2195</v>
      </c>
      <c r="E1762" t="s">
        <v>47</v>
      </c>
      <c r="F1762" t="s">
        <v>2196</v>
      </c>
      <c r="G1762" s="1">
        <f>45966</f>
        <v>45966</v>
      </c>
      <c r="H1762" t="s">
        <v>1755</v>
      </c>
      <c r="I1762" s="2">
        <v>602.1</v>
      </c>
      <c r="J1762" s="2">
        <v>438.4</v>
      </c>
      <c r="K1762" s="2">
        <v>163.69999999999999</v>
      </c>
      <c r="L1762" s="2">
        <v>27.19</v>
      </c>
      <c r="M1762" s="2">
        <v>602.1</v>
      </c>
      <c r="N1762" s="2">
        <v>438.4</v>
      </c>
      <c r="O1762" s="2">
        <v>119.7</v>
      </c>
      <c r="P1762" s="2">
        <v>27.19</v>
      </c>
    </row>
    <row r="1763" spans="1:16" x14ac:dyDescent="0.25">
      <c r="A1763" t="s">
        <v>15</v>
      </c>
      <c r="B1763" t="s">
        <v>2188</v>
      </c>
      <c r="C1763" t="s">
        <v>17</v>
      </c>
      <c r="D1763" t="s">
        <v>2197</v>
      </c>
      <c r="E1763" t="s">
        <v>47</v>
      </c>
      <c r="F1763" t="s">
        <v>1314</v>
      </c>
      <c r="G1763" s="1">
        <f>45968</f>
        <v>45968</v>
      </c>
      <c r="H1763" t="s">
        <v>1755</v>
      </c>
      <c r="I1763" s="2">
        <v>259.5</v>
      </c>
      <c r="J1763" s="2">
        <v>170.5</v>
      </c>
      <c r="K1763" s="2">
        <v>89</v>
      </c>
      <c r="L1763" s="2">
        <v>34.299999999999997</v>
      </c>
      <c r="M1763" s="2">
        <v>259.5</v>
      </c>
      <c r="N1763" s="2">
        <v>170.5</v>
      </c>
      <c r="O1763" s="2">
        <v>80</v>
      </c>
      <c r="P1763" s="2">
        <v>34.299999999999997</v>
      </c>
    </row>
    <row r="1764" spans="1:16" x14ac:dyDescent="0.25">
      <c r="A1764" t="s">
        <v>15</v>
      </c>
      <c r="B1764" t="s">
        <v>2188</v>
      </c>
      <c r="C1764" t="s">
        <v>17</v>
      </c>
      <c r="D1764" t="s">
        <v>2198</v>
      </c>
      <c r="E1764" t="s">
        <v>47</v>
      </c>
      <c r="F1764" t="s">
        <v>404</v>
      </c>
      <c r="G1764" s="1">
        <f>45973</f>
        <v>45973</v>
      </c>
      <c r="H1764" t="s">
        <v>1755</v>
      </c>
      <c r="I1764" s="2">
        <v>341.6</v>
      </c>
      <c r="J1764" s="2">
        <v>224.01</v>
      </c>
      <c r="K1764" s="2">
        <v>117.58</v>
      </c>
      <c r="L1764" s="2">
        <v>34.42</v>
      </c>
      <c r="M1764" s="2">
        <v>341.6</v>
      </c>
      <c r="N1764" s="2">
        <v>224.01</v>
      </c>
      <c r="O1764" s="2">
        <v>89.59</v>
      </c>
      <c r="P1764" s="2">
        <v>34.42</v>
      </c>
    </row>
    <row r="1765" spans="1:16" x14ac:dyDescent="0.25">
      <c r="A1765" t="s">
        <v>15</v>
      </c>
      <c r="B1765" t="s">
        <v>2188</v>
      </c>
      <c r="C1765" t="s">
        <v>17</v>
      </c>
      <c r="D1765" t="s">
        <v>2199</v>
      </c>
      <c r="E1765" t="s">
        <v>47</v>
      </c>
      <c r="F1765" t="s">
        <v>1516</v>
      </c>
      <c r="G1765" s="1">
        <f>45982</f>
        <v>45982</v>
      </c>
      <c r="H1765" t="s">
        <v>1755</v>
      </c>
      <c r="I1765" s="2">
        <v>566.1</v>
      </c>
      <c r="J1765" s="2">
        <v>370.58</v>
      </c>
      <c r="K1765" s="2">
        <v>195.52</v>
      </c>
      <c r="L1765" s="2">
        <v>34.54</v>
      </c>
      <c r="M1765" s="2">
        <v>566.1</v>
      </c>
      <c r="N1765" s="2">
        <v>370.58</v>
      </c>
      <c r="O1765" s="2">
        <v>154.52000000000001</v>
      </c>
      <c r="P1765" s="2">
        <v>34.54</v>
      </c>
    </row>
    <row r="1766" spans="1:16" x14ac:dyDescent="0.25">
      <c r="A1766" t="s">
        <v>15</v>
      </c>
      <c r="B1766" t="s">
        <v>2188</v>
      </c>
      <c r="C1766" t="s">
        <v>17</v>
      </c>
      <c r="D1766" t="s">
        <v>2200</v>
      </c>
      <c r="E1766" t="s">
        <v>47</v>
      </c>
      <c r="F1766" t="s">
        <v>402</v>
      </c>
      <c r="G1766" s="1">
        <f>45982</f>
        <v>45982</v>
      </c>
      <c r="H1766" t="s">
        <v>1755</v>
      </c>
      <c r="I1766" s="2">
        <v>7496</v>
      </c>
      <c r="J1766" s="2">
        <v>4599.7</v>
      </c>
      <c r="K1766" s="2">
        <v>2896.3</v>
      </c>
      <c r="L1766" s="2">
        <v>38.64</v>
      </c>
      <c r="M1766" s="2">
        <v>0</v>
      </c>
      <c r="N1766" s="2">
        <v>0</v>
      </c>
      <c r="O1766" s="2">
        <v>0</v>
      </c>
      <c r="P1766" s="2">
        <v>0</v>
      </c>
    </row>
    <row r="1767" spans="1:16" x14ac:dyDescent="0.25">
      <c r="A1767" t="s">
        <v>15</v>
      </c>
      <c r="B1767" t="s">
        <v>2188</v>
      </c>
      <c r="C1767" t="s">
        <v>17</v>
      </c>
      <c r="D1767" t="s">
        <v>2201</v>
      </c>
      <c r="E1767" t="s">
        <v>47</v>
      </c>
      <c r="F1767" t="s">
        <v>494</v>
      </c>
      <c r="G1767" s="1">
        <f>45987</f>
        <v>45987</v>
      </c>
      <c r="H1767" t="s">
        <v>1755</v>
      </c>
      <c r="I1767" s="2">
        <v>363.25</v>
      </c>
      <c r="J1767" s="2">
        <v>233.25</v>
      </c>
      <c r="K1767" s="2">
        <v>130</v>
      </c>
      <c r="L1767" s="2">
        <v>35.79</v>
      </c>
      <c r="M1767" s="2">
        <v>363.25</v>
      </c>
      <c r="N1767" s="2">
        <v>233.25</v>
      </c>
      <c r="O1767" s="2">
        <v>121</v>
      </c>
      <c r="P1767" s="2">
        <v>35.79</v>
      </c>
    </row>
    <row r="1768" spans="1:16" x14ac:dyDescent="0.25">
      <c r="A1768" t="s">
        <v>15</v>
      </c>
      <c r="B1768" t="s">
        <v>2188</v>
      </c>
      <c r="C1768" t="s">
        <v>58</v>
      </c>
      <c r="D1768" t="s">
        <v>2202</v>
      </c>
      <c r="E1768" t="s">
        <v>47</v>
      </c>
      <c r="F1768" t="s">
        <v>144</v>
      </c>
      <c r="G1768" s="1">
        <f>45965</f>
        <v>45965</v>
      </c>
      <c r="H1768" t="s">
        <v>56</v>
      </c>
      <c r="I1768" s="2">
        <v>2994.25</v>
      </c>
      <c r="J1768" s="2">
        <v>2024.22</v>
      </c>
      <c r="K1768" s="2">
        <v>970.03</v>
      </c>
      <c r="L1768" s="2">
        <v>32.4</v>
      </c>
      <c r="M1768" s="2">
        <v>2994.25</v>
      </c>
      <c r="N1768" s="2">
        <v>2024.22</v>
      </c>
      <c r="O1768" s="2">
        <v>918.03</v>
      </c>
      <c r="P1768" s="2">
        <v>32.4</v>
      </c>
    </row>
    <row r="1769" spans="1:16" x14ac:dyDescent="0.25">
      <c r="A1769" t="s">
        <v>15</v>
      </c>
      <c r="B1769" t="s">
        <v>2188</v>
      </c>
      <c r="C1769" t="s">
        <v>58</v>
      </c>
      <c r="D1769" t="s">
        <v>2203</v>
      </c>
      <c r="E1769" t="s">
        <v>47</v>
      </c>
      <c r="F1769" t="s">
        <v>427</v>
      </c>
      <c r="G1769" s="1">
        <f>45965</f>
        <v>45965</v>
      </c>
      <c r="H1769" t="s">
        <v>56</v>
      </c>
      <c r="I1769" s="2">
        <v>4731.3999999999996</v>
      </c>
      <c r="J1769" s="2">
        <v>3335.6</v>
      </c>
      <c r="K1769" s="2">
        <v>1395.8</v>
      </c>
      <c r="L1769" s="2">
        <v>29.5</v>
      </c>
      <c r="M1769" s="2">
        <v>0</v>
      </c>
      <c r="N1769" s="2">
        <v>0</v>
      </c>
      <c r="O1769" s="2">
        <v>0</v>
      </c>
      <c r="P1769" s="2">
        <v>0</v>
      </c>
    </row>
    <row r="1770" spans="1:16" x14ac:dyDescent="0.25">
      <c r="A1770" t="s">
        <v>15</v>
      </c>
      <c r="B1770" t="s">
        <v>2188</v>
      </c>
      <c r="C1770" t="s">
        <v>58</v>
      </c>
      <c r="D1770" t="s">
        <v>2204</v>
      </c>
      <c r="E1770" t="s">
        <v>47</v>
      </c>
      <c r="F1770" t="s">
        <v>64</v>
      </c>
      <c r="G1770" s="1">
        <f>45965</f>
        <v>45965</v>
      </c>
      <c r="H1770" t="s">
        <v>56</v>
      </c>
      <c r="I1770" s="2">
        <v>4275</v>
      </c>
      <c r="J1770" s="2">
        <v>2802</v>
      </c>
      <c r="K1770" s="2">
        <v>1473</v>
      </c>
      <c r="L1770" s="2">
        <v>34.46</v>
      </c>
      <c r="M1770" s="2">
        <v>0</v>
      </c>
      <c r="N1770" s="2">
        <v>2781</v>
      </c>
      <c r="O1770" s="2">
        <v>0</v>
      </c>
      <c r="P1770" s="2">
        <v>0</v>
      </c>
    </row>
    <row r="1771" spans="1:16" x14ac:dyDescent="0.25">
      <c r="A1771" t="s">
        <v>15</v>
      </c>
      <c r="B1771" t="s">
        <v>2188</v>
      </c>
      <c r="C1771" t="s">
        <v>58</v>
      </c>
      <c r="D1771" t="s">
        <v>2205</v>
      </c>
      <c r="E1771" t="s">
        <v>47</v>
      </c>
      <c r="F1771" t="s">
        <v>67</v>
      </c>
      <c r="G1771" s="1">
        <f>45966</f>
        <v>45966</v>
      </c>
      <c r="H1771" t="s">
        <v>56</v>
      </c>
      <c r="I1771" s="2">
        <v>395.32</v>
      </c>
      <c r="J1771" s="2">
        <v>266.83999999999997</v>
      </c>
      <c r="K1771" s="2">
        <v>128.47999999999999</v>
      </c>
      <c r="L1771" s="2">
        <v>32.5</v>
      </c>
      <c r="M1771" s="2">
        <v>395.32</v>
      </c>
      <c r="N1771" s="2">
        <v>266.83999999999997</v>
      </c>
      <c r="O1771" s="2">
        <v>119.48</v>
      </c>
      <c r="P1771" s="2">
        <v>32.5</v>
      </c>
    </row>
    <row r="1772" spans="1:16" x14ac:dyDescent="0.25">
      <c r="A1772" t="s">
        <v>15</v>
      </c>
      <c r="B1772" t="s">
        <v>2188</v>
      </c>
      <c r="C1772" t="s">
        <v>58</v>
      </c>
      <c r="D1772" t="s">
        <v>2206</v>
      </c>
      <c r="E1772" t="s">
        <v>47</v>
      </c>
      <c r="F1772" t="s">
        <v>1177</v>
      </c>
      <c r="G1772" s="1">
        <f>45966</f>
        <v>45966</v>
      </c>
      <c r="H1772" t="s">
        <v>56</v>
      </c>
      <c r="I1772" s="2">
        <v>2110.2600000000002</v>
      </c>
      <c r="J1772" s="2">
        <v>1422.68</v>
      </c>
      <c r="K1772" s="2">
        <v>687.58</v>
      </c>
      <c r="L1772" s="2">
        <v>32.58</v>
      </c>
      <c r="M1772" s="2">
        <v>2110.2600000000002</v>
      </c>
      <c r="N1772" s="2">
        <v>1422.68</v>
      </c>
      <c r="O1772" s="2">
        <v>646.58000000000004</v>
      </c>
      <c r="P1772" s="2">
        <v>32.58</v>
      </c>
    </row>
    <row r="1773" spans="1:16" x14ac:dyDescent="0.25">
      <c r="A1773" t="s">
        <v>15</v>
      </c>
      <c r="B1773" t="s">
        <v>2188</v>
      </c>
      <c r="C1773" t="s">
        <v>58</v>
      </c>
      <c r="D1773" t="s">
        <v>2207</v>
      </c>
      <c r="E1773" t="s">
        <v>47</v>
      </c>
      <c r="F1773" t="s">
        <v>131</v>
      </c>
      <c r="G1773" s="1">
        <f>45966</f>
        <v>45966</v>
      </c>
      <c r="H1773" t="s">
        <v>1755</v>
      </c>
      <c r="I1773" s="2">
        <v>615.4</v>
      </c>
      <c r="J1773" s="2">
        <v>388.46</v>
      </c>
      <c r="K1773" s="2">
        <v>226.94</v>
      </c>
      <c r="L1773" s="2">
        <v>36.880000000000003</v>
      </c>
      <c r="M1773" s="2">
        <v>0</v>
      </c>
      <c r="N1773" s="2">
        <v>0</v>
      </c>
      <c r="O1773" s="2">
        <v>0</v>
      </c>
      <c r="P1773" s="2">
        <v>0</v>
      </c>
    </row>
    <row r="1774" spans="1:16" x14ac:dyDescent="0.25">
      <c r="A1774" t="s">
        <v>15</v>
      </c>
      <c r="B1774" t="s">
        <v>2188</v>
      </c>
      <c r="C1774" t="s">
        <v>58</v>
      </c>
      <c r="D1774" t="s">
        <v>2208</v>
      </c>
      <c r="E1774" t="s">
        <v>47</v>
      </c>
      <c r="F1774" t="s">
        <v>131</v>
      </c>
      <c r="G1774" s="1">
        <f>45967</f>
        <v>45967</v>
      </c>
      <c r="H1774" t="s">
        <v>1755</v>
      </c>
      <c r="I1774" s="2">
        <v>875.4</v>
      </c>
      <c r="J1774" s="2">
        <v>600.34</v>
      </c>
      <c r="K1774" s="2">
        <v>275.06</v>
      </c>
      <c r="L1774" s="2">
        <v>31.42</v>
      </c>
      <c r="M1774" s="2">
        <v>875.4</v>
      </c>
      <c r="N1774" s="2">
        <v>600.34</v>
      </c>
      <c r="O1774" s="2">
        <v>275.06</v>
      </c>
      <c r="P1774" s="2">
        <v>31.42</v>
      </c>
    </row>
    <row r="1775" spans="1:16" x14ac:dyDescent="0.25">
      <c r="A1775" t="s">
        <v>15</v>
      </c>
      <c r="B1775" t="s">
        <v>2188</v>
      </c>
      <c r="C1775" t="s">
        <v>58</v>
      </c>
      <c r="D1775" t="s">
        <v>2209</v>
      </c>
      <c r="E1775" t="s">
        <v>47</v>
      </c>
      <c r="F1775" t="s">
        <v>408</v>
      </c>
      <c r="G1775" s="1">
        <f>45967</f>
        <v>45967</v>
      </c>
      <c r="H1775" t="s">
        <v>56</v>
      </c>
      <c r="I1775" s="2">
        <v>318.60000000000002</v>
      </c>
      <c r="J1775" s="2">
        <v>222.48</v>
      </c>
      <c r="K1775" s="2">
        <v>96.12</v>
      </c>
      <c r="L1775" s="2">
        <v>30.17</v>
      </c>
      <c r="M1775" s="2">
        <v>318.60000000000002</v>
      </c>
      <c r="N1775" s="2">
        <v>222.48</v>
      </c>
      <c r="O1775" s="2">
        <v>89.64</v>
      </c>
      <c r="P1775" s="2">
        <v>30.17</v>
      </c>
    </row>
    <row r="1776" spans="1:16" x14ac:dyDescent="0.25">
      <c r="A1776" t="s">
        <v>15</v>
      </c>
      <c r="B1776" t="s">
        <v>2188</v>
      </c>
      <c r="C1776" t="s">
        <v>58</v>
      </c>
      <c r="D1776" t="s">
        <v>2210</v>
      </c>
      <c r="E1776" t="s">
        <v>47</v>
      </c>
      <c r="F1776" t="s">
        <v>450</v>
      </c>
      <c r="G1776" s="1">
        <f>45967</f>
        <v>45967</v>
      </c>
      <c r="H1776" t="s">
        <v>56</v>
      </c>
      <c r="I1776" s="2">
        <v>2349.8000000000002</v>
      </c>
      <c r="J1776" s="2">
        <v>1343.32</v>
      </c>
      <c r="K1776" s="2">
        <v>1006.48</v>
      </c>
      <c r="L1776" s="2">
        <v>42.83</v>
      </c>
      <c r="M1776" s="2">
        <v>0</v>
      </c>
      <c r="N1776" s="2">
        <v>30.14</v>
      </c>
      <c r="O1776" s="2">
        <v>0</v>
      </c>
      <c r="P1776" s="2">
        <v>0</v>
      </c>
    </row>
    <row r="1777" spans="1:16" x14ac:dyDescent="0.25">
      <c r="A1777" t="s">
        <v>15</v>
      </c>
      <c r="B1777" t="s">
        <v>2188</v>
      </c>
      <c r="C1777" t="s">
        <v>58</v>
      </c>
      <c r="D1777" t="s">
        <v>2211</v>
      </c>
      <c r="E1777" t="s">
        <v>47</v>
      </c>
      <c r="F1777" t="s">
        <v>408</v>
      </c>
      <c r="G1777" s="1">
        <f>45968</f>
        <v>45968</v>
      </c>
      <c r="H1777" t="s">
        <v>56</v>
      </c>
      <c r="I1777" s="2">
        <v>204.7</v>
      </c>
      <c r="J1777" s="2">
        <v>140.44999999999999</v>
      </c>
      <c r="K1777" s="2">
        <v>64.25</v>
      </c>
      <c r="L1777" s="2">
        <v>31.39</v>
      </c>
      <c r="M1777" s="2">
        <v>0</v>
      </c>
      <c r="N1777" s="2">
        <v>124.35</v>
      </c>
      <c r="O1777" s="2">
        <v>0</v>
      </c>
      <c r="P1777" s="2">
        <v>0</v>
      </c>
    </row>
    <row r="1778" spans="1:16" x14ac:dyDescent="0.25">
      <c r="A1778" t="s">
        <v>15</v>
      </c>
      <c r="B1778" t="s">
        <v>2188</v>
      </c>
      <c r="C1778" t="s">
        <v>58</v>
      </c>
      <c r="D1778" t="s">
        <v>2212</v>
      </c>
      <c r="E1778" t="s">
        <v>47</v>
      </c>
      <c r="F1778" t="s">
        <v>77</v>
      </c>
      <c r="G1778" s="1">
        <f>45968</f>
        <v>45968</v>
      </c>
      <c r="H1778" t="s">
        <v>56</v>
      </c>
      <c r="I1778" s="2">
        <v>723.56</v>
      </c>
      <c r="J1778" s="2">
        <v>454.68</v>
      </c>
      <c r="K1778" s="2">
        <v>268.88</v>
      </c>
      <c r="L1778" s="2">
        <v>37.159999999999997</v>
      </c>
      <c r="M1778" s="2">
        <v>723.56</v>
      </c>
      <c r="N1778" s="2">
        <v>454.68</v>
      </c>
      <c r="O1778" s="2">
        <v>242.88</v>
      </c>
      <c r="P1778" s="2">
        <v>37.159999999999997</v>
      </c>
    </row>
    <row r="1779" spans="1:16" x14ac:dyDescent="0.25">
      <c r="A1779" t="s">
        <v>15</v>
      </c>
      <c r="B1779" t="s">
        <v>2188</v>
      </c>
      <c r="C1779" t="s">
        <v>58</v>
      </c>
      <c r="D1779" t="s">
        <v>2213</v>
      </c>
      <c r="E1779" t="s">
        <v>47</v>
      </c>
      <c r="F1779" t="s">
        <v>64</v>
      </c>
      <c r="G1779" s="1">
        <f>45968</f>
        <v>45968</v>
      </c>
      <c r="H1779" t="s">
        <v>56</v>
      </c>
      <c r="I1779" s="2">
        <v>8655.42</v>
      </c>
      <c r="J1779" s="2">
        <v>5958.5</v>
      </c>
      <c r="K1779" s="2">
        <v>2696.92</v>
      </c>
      <c r="L1779" s="2">
        <v>31.16</v>
      </c>
      <c r="M1779" s="2">
        <v>1492.62</v>
      </c>
      <c r="N1779" s="2">
        <v>6010.9</v>
      </c>
      <c r="O1779" s="2">
        <v>-4518.28</v>
      </c>
      <c r="P1779" s="2">
        <v>-302.70999999999998</v>
      </c>
    </row>
    <row r="1780" spans="1:16" x14ac:dyDescent="0.25">
      <c r="A1780" t="s">
        <v>15</v>
      </c>
      <c r="B1780" t="s">
        <v>2188</v>
      </c>
      <c r="C1780" t="s">
        <v>58</v>
      </c>
      <c r="D1780" t="s">
        <v>2214</v>
      </c>
      <c r="E1780" t="s">
        <v>47</v>
      </c>
      <c r="F1780" t="s">
        <v>408</v>
      </c>
      <c r="G1780" s="1">
        <f>45973</f>
        <v>45973</v>
      </c>
      <c r="H1780" t="s">
        <v>56</v>
      </c>
      <c r="I1780" s="2">
        <v>288</v>
      </c>
      <c r="J1780" s="2">
        <v>160.9</v>
      </c>
      <c r="K1780" s="2">
        <v>127.1</v>
      </c>
      <c r="L1780" s="2">
        <v>44.13</v>
      </c>
      <c r="M1780" s="2">
        <v>0</v>
      </c>
      <c r="N1780" s="2">
        <v>143.9</v>
      </c>
      <c r="O1780" s="2">
        <v>0</v>
      </c>
      <c r="P1780" s="2">
        <v>0</v>
      </c>
    </row>
    <row r="1781" spans="1:16" x14ac:dyDescent="0.25">
      <c r="A1781" t="s">
        <v>15</v>
      </c>
      <c r="B1781" t="s">
        <v>2188</v>
      </c>
      <c r="C1781" t="s">
        <v>58</v>
      </c>
      <c r="D1781" t="s">
        <v>2215</v>
      </c>
      <c r="E1781" t="s">
        <v>47</v>
      </c>
      <c r="F1781" t="s">
        <v>131</v>
      </c>
      <c r="G1781" s="1">
        <f>45973</f>
        <v>45973</v>
      </c>
      <c r="H1781" t="s">
        <v>1755</v>
      </c>
      <c r="I1781" s="2">
        <v>173.4</v>
      </c>
      <c r="J1781" s="2">
        <v>121.38</v>
      </c>
      <c r="K1781" s="2">
        <v>52.02</v>
      </c>
      <c r="L1781" s="2">
        <v>30</v>
      </c>
      <c r="M1781" s="2">
        <v>173.4</v>
      </c>
      <c r="N1781" s="2">
        <v>121.38</v>
      </c>
      <c r="O1781" s="2">
        <v>52.02</v>
      </c>
      <c r="P1781" s="2">
        <v>30</v>
      </c>
    </row>
    <row r="1782" spans="1:16" x14ac:dyDescent="0.25">
      <c r="A1782" t="s">
        <v>15</v>
      </c>
      <c r="B1782" t="s">
        <v>2188</v>
      </c>
      <c r="C1782" t="s">
        <v>58</v>
      </c>
      <c r="D1782" t="s">
        <v>2216</v>
      </c>
      <c r="E1782" t="s">
        <v>47</v>
      </c>
      <c r="F1782" t="s">
        <v>1329</v>
      </c>
      <c r="G1782" s="1">
        <f>45973</f>
        <v>45973</v>
      </c>
      <c r="H1782" t="s">
        <v>56</v>
      </c>
      <c r="I1782" s="2">
        <v>288.2</v>
      </c>
      <c r="J1782" s="2">
        <v>175.9</v>
      </c>
      <c r="K1782" s="2">
        <v>112.3</v>
      </c>
      <c r="L1782" s="2">
        <v>38.97</v>
      </c>
      <c r="M1782" s="2">
        <v>288.2</v>
      </c>
      <c r="N1782" s="2">
        <v>175.9</v>
      </c>
      <c r="O1782" s="2">
        <v>100.3</v>
      </c>
      <c r="P1782" s="2">
        <v>38.97</v>
      </c>
    </row>
    <row r="1783" spans="1:16" x14ac:dyDescent="0.25">
      <c r="A1783" t="s">
        <v>15</v>
      </c>
      <c r="B1783" t="s">
        <v>2188</v>
      </c>
      <c r="C1783" t="s">
        <v>58</v>
      </c>
      <c r="D1783" t="s">
        <v>2217</v>
      </c>
      <c r="E1783" t="s">
        <v>47</v>
      </c>
      <c r="F1783" t="s">
        <v>131</v>
      </c>
      <c r="G1783" s="1">
        <f>45974</f>
        <v>45974</v>
      </c>
      <c r="H1783" t="s">
        <v>1755</v>
      </c>
      <c r="I1783" s="2">
        <v>281.26</v>
      </c>
      <c r="J1783" s="2">
        <v>192.8</v>
      </c>
      <c r="K1783" s="2">
        <v>88.46</v>
      </c>
      <c r="L1783" s="2">
        <v>31.45</v>
      </c>
      <c r="M1783" s="2">
        <v>281.26</v>
      </c>
      <c r="N1783" s="2">
        <v>192.78</v>
      </c>
      <c r="O1783" s="2">
        <v>-21.52</v>
      </c>
      <c r="P1783" s="2">
        <v>31.46</v>
      </c>
    </row>
    <row r="1784" spans="1:16" x14ac:dyDescent="0.25">
      <c r="A1784" t="s">
        <v>15</v>
      </c>
      <c r="B1784" t="s">
        <v>2188</v>
      </c>
      <c r="C1784" t="s">
        <v>58</v>
      </c>
      <c r="D1784" t="s">
        <v>2218</v>
      </c>
      <c r="E1784" t="s">
        <v>47</v>
      </c>
      <c r="F1784" t="s">
        <v>64</v>
      </c>
      <c r="G1784" s="1">
        <f>45975</f>
        <v>45975</v>
      </c>
      <c r="H1784" t="s">
        <v>56</v>
      </c>
      <c r="I1784" s="2">
        <v>2440.41</v>
      </c>
      <c r="J1784" s="2">
        <v>1692.38</v>
      </c>
      <c r="K1784" s="2">
        <v>748.03</v>
      </c>
      <c r="L1784" s="2">
        <v>30.65</v>
      </c>
      <c r="M1784" s="2">
        <v>0</v>
      </c>
      <c r="N1784" s="2">
        <v>0</v>
      </c>
      <c r="O1784" s="2">
        <v>0</v>
      </c>
      <c r="P1784" s="2">
        <v>0</v>
      </c>
    </row>
    <row r="1785" spans="1:16" x14ac:dyDescent="0.25">
      <c r="A1785" t="s">
        <v>15</v>
      </c>
      <c r="B1785" t="s">
        <v>2188</v>
      </c>
      <c r="C1785" t="s">
        <v>58</v>
      </c>
      <c r="D1785" t="s">
        <v>2219</v>
      </c>
      <c r="E1785" t="s">
        <v>47</v>
      </c>
      <c r="F1785" t="s">
        <v>985</v>
      </c>
      <c r="G1785" s="1">
        <f>45978</f>
        <v>45978</v>
      </c>
      <c r="H1785" t="s">
        <v>56</v>
      </c>
      <c r="I1785" s="2">
        <v>235.4</v>
      </c>
      <c r="J1785" s="2">
        <v>136.5</v>
      </c>
      <c r="K1785" s="2">
        <v>98.9</v>
      </c>
      <c r="L1785" s="2">
        <v>42.01</v>
      </c>
      <c r="M1785" s="2">
        <v>235.4</v>
      </c>
      <c r="N1785" s="2">
        <v>136.5</v>
      </c>
      <c r="O1785" s="2">
        <v>54.9</v>
      </c>
      <c r="P1785" s="2">
        <v>42.01</v>
      </c>
    </row>
    <row r="1786" spans="1:16" x14ac:dyDescent="0.25">
      <c r="A1786" t="s">
        <v>15</v>
      </c>
      <c r="B1786" t="s">
        <v>2188</v>
      </c>
      <c r="C1786" t="s">
        <v>58</v>
      </c>
      <c r="D1786" t="s">
        <v>2220</v>
      </c>
      <c r="E1786" t="s">
        <v>47</v>
      </c>
      <c r="F1786" t="s">
        <v>67</v>
      </c>
      <c r="G1786" s="1">
        <f>45978</f>
        <v>45978</v>
      </c>
      <c r="H1786" t="s">
        <v>56</v>
      </c>
      <c r="I1786" s="2">
        <v>203.28</v>
      </c>
      <c r="J1786" s="2">
        <v>134.56</v>
      </c>
      <c r="K1786" s="2">
        <v>68.72</v>
      </c>
      <c r="L1786" s="2">
        <v>33.81</v>
      </c>
      <c r="M1786" s="2">
        <v>0</v>
      </c>
      <c r="N1786" s="2">
        <v>57.95</v>
      </c>
      <c r="O1786" s="2">
        <v>0</v>
      </c>
      <c r="P1786" s="2">
        <v>0</v>
      </c>
    </row>
    <row r="1787" spans="1:16" x14ac:dyDescent="0.25">
      <c r="A1787" t="s">
        <v>15</v>
      </c>
      <c r="B1787" t="s">
        <v>2188</v>
      </c>
      <c r="C1787" t="s">
        <v>58</v>
      </c>
      <c r="D1787" t="s">
        <v>2221</v>
      </c>
      <c r="E1787" t="s">
        <v>47</v>
      </c>
      <c r="F1787" t="s">
        <v>131</v>
      </c>
      <c r="G1787" s="1">
        <f>45979</f>
        <v>45979</v>
      </c>
      <c r="H1787" t="s">
        <v>1755</v>
      </c>
      <c r="I1787" s="2">
        <v>1338.36</v>
      </c>
      <c r="J1787" s="2">
        <v>936.85</v>
      </c>
      <c r="K1787" s="2">
        <v>401.51</v>
      </c>
      <c r="L1787" s="2">
        <v>30</v>
      </c>
      <c r="M1787" s="2">
        <v>0</v>
      </c>
      <c r="N1787" s="2">
        <v>900.85</v>
      </c>
      <c r="O1787" s="2">
        <v>0</v>
      </c>
      <c r="P1787" s="2">
        <v>0</v>
      </c>
    </row>
    <row r="1788" spans="1:16" x14ac:dyDescent="0.25">
      <c r="A1788" t="s">
        <v>15</v>
      </c>
      <c r="B1788" t="s">
        <v>2188</v>
      </c>
      <c r="C1788" t="s">
        <v>58</v>
      </c>
      <c r="D1788" t="s">
        <v>2222</v>
      </c>
      <c r="E1788" t="s">
        <v>47</v>
      </c>
      <c r="F1788" t="s">
        <v>465</v>
      </c>
      <c r="G1788" s="1">
        <f>45980</f>
        <v>45980</v>
      </c>
      <c r="H1788" t="s">
        <v>1755</v>
      </c>
      <c r="I1788" s="2">
        <v>459.1</v>
      </c>
      <c r="J1788" s="2">
        <v>306.2</v>
      </c>
      <c r="K1788" s="2">
        <v>152.9</v>
      </c>
      <c r="L1788" s="2">
        <v>33.299999999999997</v>
      </c>
      <c r="M1788" s="2">
        <v>459.1</v>
      </c>
      <c r="N1788" s="2">
        <v>254.6</v>
      </c>
      <c r="O1788" s="2">
        <v>173.5</v>
      </c>
      <c r="P1788" s="2">
        <v>44.54</v>
      </c>
    </row>
    <row r="1789" spans="1:16" x14ac:dyDescent="0.25">
      <c r="A1789" t="s">
        <v>15</v>
      </c>
      <c r="B1789" t="s">
        <v>2188</v>
      </c>
      <c r="C1789" t="s">
        <v>58</v>
      </c>
      <c r="D1789" t="s">
        <v>2223</v>
      </c>
      <c r="E1789" t="s">
        <v>47</v>
      </c>
      <c r="F1789" t="s">
        <v>67</v>
      </c>
      <c r="G1789" s="1">
        <f>45981</f>
        <v>45981</v>
      </c>
      <c r="H1789" t="s">
        <v>56</v>
      </c>
      <c r="I1789" s="2">
        <v>162.4</v>
      </c>
      <c r="J1789" s="2">
        <v>113.68</v>
      </c>
      <c r="K1789" s="2">
        <v>48.72</v>
      </c>
      <c r="L1789" s="2">
        <v>30</v>
      </c>
      <c r="M1789" s="2">
        <v>0</v>
      </c>
      <c r="N1789" s="2">
        <v>0</v>
      </c>
      <c r="O1789" s="2">
        <v>0</v>
      </c>
      <c r="P1789" s="2">
        <v>0</v>
      </c>
    </row>
    <row r="1790" spans="1:16" x14ac:dyDescent="0.25">
      <c r="A1790" t="s">
        <v>15</v>
      </c>
      <c r="B1790" t="s">
        <v>2188</v>
      </c>
      <c r="C1790" t="s">
        <v>58</v>
      </c>
      <c r="D1790" t="s">
        <v>2224</v>
      </c>
      <c r="E1790" t="s">
        <v>47</v>
      </c>
      <c r="F1790" t="s">
        <v>123</v>
      </c>
      <c r="G1790" s="1">
        <f>45981</f>
        <v>45981</v>
      </c>
      <c r="H1790" t="s">
        <v>56</v>
      </c>
      <c r="I1790" s="2">
        <v>2057.85</v>
      </c>
      <c r="J1790" s="2">
        <v>1435.16</v>
      </c>
      <c r="K1790" s="2">
        <v>622.69000000000005</v>
      </c>
      <c r="L1790" s="2">
        <v>30.26</v>
      </c>
      <c r="M1790" s="2">
        <v>2057.85</v>
      </c>
      <c r="N1790" s="2">
        <v>1435.17</v>
      </c>
      <c r="O1790" s="2">
        <v>587.67999999999995</v>
      </c>
      <c r="P1790" s="2">
        <v>30.26</v>
      </c>
    </row>
    <row r="1791" spans="1:16" x14ac:dyDescent="0.25">
      <c r="A1791" t="s">
        <v>15</v>
      </c>
      <c r="B1791" t="s">
        <v>2188</v>
      </c>
      <c r="C1791" t="s">
        <v>58</v>
      </c>
      <c r="D1791" t="s">
        <v>2225</v>
      </c>
      <c r="E1791" t="s">
        <v>47</v>
      </c>
      <c r="F1791" t="s">
        <v>64</v>
      </c>
      <c r="G1791" s="1">
        <f>45981</f>
        <v>45981</v>
      </c>
      <c r="H1791" t="s">
        <v>56</v>
      </c>
      <c r="I1791" s="2">
        <v>2859</v>
      </c>
      <c r="J1791" s="2">
        <v>1944</v>
      </c>
      <c r="K1791" s="2">
        <v>915</v>
      </c>
      <c r="L1791" s="2">
        <v>32</v>
      </c>
      <c r="M1791" s="2">
        <v>2859</v>
      </c>
      <c r="N1791" s="2">
        <v>1944</v>
      </c>
      <c r="O1791" s="2">
        <v>915</v>
      </c>
      <c r="P1791" s="2">
        <v>32</v>
      </c>
    </row>
    <row r="1792" spans="1:16" x14ac:dyDescent="0.25">
      <c r="A1792" t="s">
        <v>15</v>
      </c>
      <c r="B1792" t="s">
        <v>2188</v>
      </c>
      <c r="C1792" t="s">
        <v>58</v>
      </c>
      <c r="D1792" t="s">
        <v>2226</v>
      </c>
      <c r="E1792" t="s">
        <v>47</v>
      </c>
      <c r="F1792" t="s">
        <v>64</v>
      </c>
      <c r="G1792" s="1">
        <f>45985</f>
        <v>45985</v>
      </c>
      <c r="H1792" t="s">
        <v>56</v>
      </c>
      <c r="I1792" s="2">
        <v>217.1</v>
      </c>
      <c r="J1792" s="2">
        <v>153.63</v>
      </c>
      <c r="K1792" s="2">
        <v>63.47</v>
      </c>
      <c r="L1792" s="2">
        <v>29.24</v>
      </c>
      <c r="M1792" s="2">
        <v>217.1</v>
      </c>
      <c r="N1792" s="2">
        <v>153.63</v>
      </c>
      <c r="O1792" s="2">
        <v>38.47</v>
      </c>
      <c r="P1792" s="2">
        <v>29.24</v>
      </c>
    </row>
    <row r="1793" spans="1:16" x14ac:dyDescent="0.25">
      <c r="A1793" t="s">
        <v>15</v>
      </c>
      <c r="B1793" t="s">
        <v>2188</v>
      </c>
      <c r="C1793" t="s">
        <v>58</v>
      </c>
      <c r="D1793" t="s">
        <v>2227</v>
      </c>
      <c r="E1793" t="s">
        <v>47</v>
      </c>
      <c r="F1793" t="s">
        <v>89</v>
      </c>
      <c r="G1793" s="1">
        <f>45985</f>
        <v>45985</v>
      </c>
      <c r="H1793" t="s">
        <v>56</v>
      </c>
      <c r="I1793" s="2">
        <v>1782</v>
      </c>
      <c r="J1793" s="2">
        <v>1110</v>
      </c>
      <c r="K1793" s="2">
        <v>672</v>
      </c>
      <c r="L1793" s="2">
        <v>37.71</v>
      </c>
      <c r="M1793" s="2">
        <v>0</v>
      </c>
      <c r="N1793" s="2">
        <v>0</v>
      </c>
      <c r="O1793" s="2">
        <v>0</v>
      </c>
      <c r="P1793" s="2">
        <v>0</v>
      </c>
    </row>
    <row r="1794" spans="1:16" x14ac:dyDescent="0.25">
      <c r="A1794" t="s">
        <v>15</v>
      </c>
      <c r="B1794" t="s">
        <v>2188</v>
      </c>
      <c r="C1794" t="s">
        <v>58</v>
      </c>
      <c r="D1794" t="s">
        <v>2228</v>
      </c>
      <c r="E1794" t="s">
        <v>47</v>
      </c>
      <c r="F1794" t="s">
        <v>131</v>
      </c>
      <c r="G1794" s="1">
        <f>45986</f>
        <v>45986</v>
      </c>
      <c r="H1794" t="s">
        <v>1755</v>
      </c>
      <c r="I1794" s="2">
        <v>2015.17</v>
      </c>
      <c r="J1794" s="2">
        <v>1300.8</v>
      </c>
      <c r="K1794" s="2">
        <v>714.37</v>
      </c>
      <c r="L1794" s="2">
        <v>35.450000000000003</v>
      </c>
      <c r="M1794" s="2">
        <v>0</v>
      </c>
      <c r="N1794" s="2">
        <v>0</v>
      </c>
      <c r="O1794" s="2">
        <v>0</v>
      </c>
      <c r="P1794" s="2">
        <v>0</v>
      </c>
    </row>
    <row r="1795" spans="1:16" x14ac:dyDescent="0.25">
      <c r="A1795" t="s">
        <v>15</v>
      </c>
      <c r="B1795" t="s">
        <v>2188</v>
      </c>
      <c r="C1795" t="s">
        <v>58</v>
      </c>
      <c r="D1795" t="s">
        <v>2229</v>
      </c>
      <c r="E1795" t="s">
        <v>47</v>
      </c>
      <c r="F1795" t="s">
        <v>698</v>
      </c>
      <c r="G1795" s="1">
        <f>45989</f>
        <v>45989</v>
      </c>
      <c r="H1795" t="s">
        <v>56</v>
      </c>
      <c r="I1795" s="2">
        <v>1954</v>
      </c>
      <c r="J1795" s="2">
        <v>1243</v>
      </c>
      <c r="K1795" s="2">
        <v>711</v>
      </c>
      <c r="L1795" s="2">
        <v>36.39</v>
      </c>
      <c r="M1795" s="2">
        <v>0</v>
      </c>
      <c r="N1795" s="2">
        <v>1171</v>
      </c>
      <c r="O1795" s="2">
        <v>0</v>
      </c>
      <c r="P1795" s="2">
        <v>0</v>
      </c>
    </row>
    <row r="1796" spans="1:16" x14ac:dyDescent="0.25">
      <c r="A1796" t="s">
        <v>15</v>
      </c>
      <c r="B1796" t="s">
        <v>2188</v>
      </c>
      <c r="C1796" t="s">
        <v>58</v>
      </c>
      <c r="D1796" t="s">
        <v>2230</v>
      </c>
      <c r="E1796" t="s">
        <v>47</v>
      </c>
      <c r="F1796" t="s">
        <v>64</v>
      </c>
      <c r="G1796" s="1">
        <f>45978</f>
        <v>45978</v>
      </c>
      <c r="H1796" t="s">
        <v>56</v>
      </c>
      <c r="I1796" s="2">
        <v>2369</v>
      </c>
      <c r="J1796" s="2">
        <v>1012.2</v>
      </c>
      <c r="K1796" s="2">
        <v>1356.8</v>
      </c>
      <c r="L1796" s="2">
        <v>57.27</v>
      </c>
      <c r="M1796" s="2">
        <v>0</v>
      </c>
      <c r="N1796" s="2">
        <v>0</v>
      </c>
      <c r="O1796" s="2">
        <v>0</v>
      </c>
      <c r="P1796" s="2">
        <v>0</v>
      </c>
    </row>
    <row r="1797" spans="1:16" x14ac:dyDescent="0.25">
      <c r="A1797" t="s">
        <v>15</v>
      </c>
      <c r="B1797" t="s">
        <v>2188</v>
      </c>
      <c r="C1797" t="s">
        <v>58</v>
      </c>
      <c r="D1797" t="s">
        <v>2231</v>
      </c>
      <c r="E1797" t="s">
        <v>47</v>
      </c>
      <c r="F1797" t="s">
        <v>69</v>
      </c>
      <c r="G1797" s="1">
        <f>45985</f>
        <v>45985</v>
      </c>
      <c r="H1797" t="s">
        <v>56</v>
      </c>
      <c r="I1797" s="2">
        <v>1540.65</v>
      </c>
      <c r="J1797" s="2">
        <v>1220.81</v>
      </c>
      <c r="K1797" s="2">
        <v>319.83999999999997</v>
      </c>
      <c r="L1797" s="2">
        <v>20.76</v>
      </c>
      <c r="M1797" s="2">
        <v>0</v>
      </c>
      <c r="N1797" s="2">
        <v>0</v>
      </c>
      <c r="O1797" s="2">
        <v>0</v>
      </c>
      <c r="P1797" s="2">
        <v>0</v>
      </c>
    </row>
    <row r="1798" spans="1:16" x14ac:dyDescent="0.25">
      <c r="A1798" t="s">
        <v>15</v>
      </c>
      <c r="B1798" t="s">
        <v>2188</v>
      </c>
      <c r="C1798" t="s">
        <v>187</v>
      </c>
      <c r="D1798" t="s">
        <v>2232</v>
      </c>
      <c r="E1798" t="s">
        <v>47</v>
      </c>
      <c r="F1798" t="s">
        <v>191</v>
      </c>
      <c r="G1798" s="1">
        <f>45975</f>
        <v>45975</v>
      </c>
      <c r="H1798" t="s">
        <v>1755</v>
      </c>
      <c r="I1798" s="2">
        <v>58300</v>
      </c>
      <c r="J1798" s="2">
        <v>46384.06</v>
      </c>
      <c r="K1798" s="2">
        <v>11915.94</v>
      </c>
      <c r="L1798" s="2">
        <v>20.440000000000001</v>
      </c>
      <c r="M1798" s="2">
        <v>0</v>
      </c>
      <c r="N1798" s="2">
        <v>408.19</v>
      </c>
      <c r="O1798" s="2">
        <v>0</v>
      </c>
      <c r="P1798" s="2">
        <v>0</v>
      </c>
    </row>
    <row r="1799" spans="1:16" x14ac:dyDescent="0.25">
      <c r="A1799" t="s">
        <v>15</v>
      </c>
      <c r="B1799" t="s">
        <v>2188</v>
      </c>
      <c r="C1799" t="s">
        <v>187</v>
      </c>
      <c r="D1799" t="s">
        <v>2233</v>
      </c>
      <c r="E1799" t="s">
        <v>47</v>
      </c>
      <c r="F1799" t="s">
        <v>248</v>
      </c>
      <c r="G1799" s="1">
        <f>45965</f>
        <v>45965</v>
      </c>
      <c r="H1799" t="s">
        <v>1755</v>
      </c>
      <c r="I1799" s="2">
        <v>1568.42</v>
      </c>
      <c r="J1799" s="2">
        <v>1066.3499999999999</v>
      </c>
      <c r="K1799" s="2">
        <v>502.07</v>
      </c>
      <c r="L1799" s="2">
        <v>32.01</v>
      </c>
      <c r="M1799" s="2">
        <v>1568.42</v>
      </c>
      <c r="N1799" s="2">
        <v>1066.3499999999999</v>
      </c>
      <c r="O1799" s="2">
        <v>437.07</v>
      </c>
      <c r="P1799" s="2">
        <v>32.01</v>
      </c>
    </row>
    <row r="1800" spans="1:16" x14ac:dyDescent="0.25">
      <c r="A1800" t="s">
        <v>15</v>
      </c>
      <c r="B1800" t="s">
        <v>2188</v>
      </c>
      <c r="C1800" t="s">
        <v>187</v>
      </c>
      <c r="D1800" t="s">
        <v>2234</v>
      </c>
      <c r="E1800" t="s">
        <v>47</v>
      </c>
      <c r="F1800" t="s">
        <v>193</v>
      </c>
      <c r="G1800" s="1">
        <f>45965</f>
        <v>45965</v>
      </c>
      <c r="H1800" t="s">
        <v>1755</v>
      </c>
      <c r="I1800" s="2">
        <v>240.7</v>
      </c>
      <c r="J1800" s="2">
        <v>139.86000000000001</v>
      </c>
      <c r="K1800" s="2">
        <v>100.84</v>
      </c>
      <c r="L1800" s="2">
        <v>41.89</v>
      </c>
      <c r="M1800" s="2">
        <v>240.7</v>
      </c>
      <c r="N1800" s="2">
        <v>139.86000000000001</v>
      </c>
      <c r="O1800" s="2">
        <v>91.84</v>
      </c>
      <c r="P1800" s="2">
        <v>41.89</v>
      </c>
    </row>
    <row r="1801" spans="1:16" x14ac:dyDescent="0.25">
      <c r="A1801" t="s">
        <v>15</v>
      </c>
      <c r="B1801" t="s">
        <v>2188</v>
      </c>
      <c r="C1801" t="s">
        <v>187</v>
      </c>
      <c r="D1801" t="s">
        <v>2235</v>
      </c>
      <c r="E1801" t="s">
        <v>47</v>
      </c>
      <c r="F1801" t="s">
        <v>248</v>
      </c>
      <c r="G1801" s="1">
        <f>45965</f>
        <v>45965</v>
      </c>
      <c r="H1801" t="s">
        <v>1755</v>
      </c>
      <c r="I1801" s="2">
        <v>3176.28</v>
      </c>
      <c r="J1801" s="2">
        <v>2223.2399999999998</v>
      </c>
      <c r="K1801" s="2">
        <v>953.04</v>
      </c>
      <c r="L1801" s="2">
        <v>30</v>
      </c>
      <c r="M1801" s="2">
        <v>3176.28</v>
      </c>
      <c r="N1801" s="2">
        <v>2223.2399999999998</v>
      </c>
      <c r="O1801" s="2">
        <v>905.04</v>
      </c>
      <c r="P1801" s="2">
        <v>30</v>
      </c>
    </row>
    <row r="1802" spans="1:16" x14ac:dyDescent="0.25">
      <c r="A1802" t="s">
        <v>15</v>
      </c>
      <c r="B1802" t="s">
        <v>2188</v>
      </c>
      <c r="C1802" t="s">
        <v>187</v>
      </c>
      <c r="D1802" t="s">
        <v>2236</v>
      </c>
      <c r="E1802" t="s">
        <v>47</v>
      </c>
      <c r="F1802" t="s">
        <v>541</v>
      </c>
      <c r="G1802" s="1">
        <f>45966</f>
        <v>45966</v>
      </c>
      <c r="H1802" t="s">
        <v>1755</v>
      </c>
      <c r="I1802" s="2">
        <v>288.10000000000002</v>
      </c>
      <c r="J1802" s="2">
        <v>189.92</v>
      </c>
      <c r="K1802" s="2">
        <v>98.18</v>
      </c>
      <c r="L1802" s="2">
        <v>34.08</v>
      </c>
      <c r="M1802" s="2">
        <v>288.10000000000002</v>
      </c>
      <c r="N1802" s="2">
        <v>189.92</v>
      </c>
      <c r="O1802" s="2">
        <v>59.18</v>
      </c>
      <c r="P1802" s="2">
        <v>34.08</v>
      </c>
    </row>
    <row r="1803" spans="1:16" x14ac:dyDescent="0.25">
      <c r="A1803" t="s">
        <v>15</v>
      </c>
      <c r="B1803" t="s">
        <v>2188</v>
      </c>
      <c r="C1803" t="s">
        <v>187</v>
      </c>
      <c r="D1803" t="s">
        <v>2237</v>
      </c>
      <c r="E1803" t="s">
        <v>47</v>
      </c>
      <c r="F1803" t="s">
        <v>1935</v>
      </c>
      <c r="G1803" s="1">
        <f>45966</f>
        <v>45966</v>
      </c>
      <c r="H1803" t="s">
        <v>1755</v>
      </c>
      <c r="I1803" s="2">
        <v>190</v>
      </c>
      <c r="J1803" s="2">
        <v>135.03</v>
      </c>
      <c r="K1803" s="2">
        <v>54.97</v>
      </c>
      <c r="L1803" s="2">
        <v>28.93</v>
      </c>
      <c r="M1803" s="2">
        <v>190</v>
      </c>
      <c r="N1803" s="2">
        <v>135.03</v>
      </c>
      <c r="O1803" s="2">
        <v>33.869999999999997</v>
      </c>
      <c r="P1803" s="2">
        <v>28.93</v>
      </c>
    </row>
    <row r="1804" spans="1:16" x14ac:dyDescent="0.25">
      <c r="A1804" t="s">
        <v>15</v>
      </c>
      <c r="B1804" t="s">
        <v>2188</v>
      </c>
      <c r="C1804" t="s">
        <v>187</v>
      </c>
      <c r="D1804" t="s">
        <v>2238</v>
      </c>
      <c r="E1804" t="s">
        <v>47</v>
      </c>
      <c r="F1804" t="s">
        <v>189</v>
      </c>
      <c r="G1804" s="1">
        <f>45967</f>
        <v>45967</v>
      </c>
      <c r="H1804" t="s">
        <v>1755</v>
      </c>
      <c r="I1804" s="2">
        <v>3981.8</v>
      </c>
      <c r="J1804" s="2">
        <v>2813.08</v>
      </c>
      <c r="K1804" s="2">
        <v>1168.72</v>
      </c>
      <c r="L1804" s="2">
        <v>29.35</v>
      </c>
      <c r="M1804" s="2">
        <v>0</v>
      </c>
      <c r="N1804" s="2">
        <v>721.18</v>
      </c>
      <c r="O1804" s="2">
        <v>0</v>
      </c>
      <c r="P1804" s="2">
        <v>0</v>
      </c>
    </row>
    <row r="1805" spans="1:16" x14ac:dyDescent="0.25">
      <c r="A1805" t="s">
        <v>15</v>
      </c>
      <c r="B1805" t="s">
        <v>2188</v>
      </c>
      <c r="C1805" t="s">
        <v>187</v>
      </c>
      <c r="D1805" t="s">
        <v>2239</v>
      </c>
      <c r="E1805" t="s">
        <v>47</v>
      </c>
      <c r="F1805" t="s">
        <v>224</v>
      </c>
      <c r="G1805" s="1">
        <f>45973</f>
        <v>45973</v>
      </c>
      <c r="H1805" t="s">
        <v>1755</v>
      </c>
      <c r="I1805" s="2">
        <v>408.4</v>
      </c>
      <c r="J1805" s="2">
        <v>279.43</v>
      </c>
      <c r="K1805" s="2">
        <v>128.97</v>
      </c>
      <c r="L1805" s="2">
        <v>31.58</v>
      </c>
      <c r="M1805" s="2">
        <v>408.4</v>
      </c>
      <c r="N1805" s="2">
        <v>279.43</v>
      </c>
      <c r="O1805" s="2">
        <v>119.97</v>
      </c>
      <c r="P1805" s="2">
        <v>31.58</v>
      </c>
    </row>
    <row r="1806" spans="1:16" x14ac:dyDescent="0.25">
      <c r="A1806" t="s">
        <v>15</v>
      </c>
      <c r="B1806" t="s">
        <v>2188</v>
      </c>
      <c r="C1806" t="s">
        <v>187</v>
      </c>
      <c r="D1806" t="s">
        <v>2240</v>
      </c>
      <c r="E1806" t="s">
        <v>47</v>
      </c>
      <c r="F1806" t="s">
        <v>806</v>
      </c>
      <c r="G1806" s="1">
        <f>45973</f>
        <v>45973</v>
      </c>
      <c r="H1806" t="s">
        <v>1755</v>
      </c>
      <c r="I1806" s="2">
        <v>961.5</v>
      </c>
      <c r="J1806" s="2">
        <v>592.03</v>
      </c>
      <c r="K1806" s="2">
        <v>369.47</v>
      </c>
      <c r="L1806" s="2">
        <v>38.43</v>
      </c>
      <c r="M1806" s="2">
        <v>961.5</v>
      </c>
      <c r="N1806" s="2">
        <v>592.03</v>
      </c>
      <c r="O1806" s="2">
        <v>357.47</v>
      </c>
      <c r="P1806" s="2">
        <v>38.43</v>
      </c>
    </row>
    <row r="1807" spans="1:16" x14ac:dyDescent="0.25">
      <c r="A1807" t="s">
        <v>15</v>
      </c>
      <c r="B1807" t="s">
        <v>2188</v>
      </c>
      <c r="C1807" t="s">
        <v>187</v>
      </c>
      <c r="D1807" t="s">
        <v>2241</v>
      </c>
      <c r="E1807" t="s">
        <v>47</v>
      </c>
      <c r="F1807" t="s">
        <v>505</v>
      </c>
      <c r="G1807" s="1">
        <f>45974</f>
        <v>45974</v>
      </c>
      <c r="H1807" t="s">
        <v>1755</v>
      </c>
      <c r="I1807" s="2">
        <v>155.28</v>
      </c>
      <c r="J1807" s="2">
        <v>62.4</v>
      </c>
      <c r="K1807" s="2">
        <v>92.88</v>
      </c>
      <c r="L1807" s="2">
        <v>59.81</v>
      </c>
      <c r="M1807" s="2">
        <v>155.28</v>
      </c>
      <c r="N1807" s="2">
        <v>62.4</v>
      </c>
      <c r="O1807" s="2">
        <v>67.88</v>
      </c>
      <c r="P1807" s="2">
        <v>59.81</v>
      </c>
    </row>
    <row r="1808" spans="1:16" x14ac:dyDescent="0.25">
      <c r="A1808" t="s">
        <v>15</v>
      </c>
      <c r="B1808" t="s">
        <v>2188</v>
      </c>
      <c r="C1808" t="s">
        <v>187</v>
      </c>
      <c r="D1808" t="s">
        <v>2242</v>
      </c>
      <c r="E1808" t="s">
        <v>47</v>
      </c>
      <c r="F1808" t="s">
        <v>248</v>
      </c>
      <c r="G1808" s="1">
        <f>45975</f>
        <v>45975</v>
      </c>
      <c r="H1808" t="s">
        <v>1755</v>
      </c>
      <c r="I1808" s="2">
        <v>12839.76</v>
      </c>
      <c r="J1808" s="2">
        <v>8528.94</v>
      </c>
      <c r="K1808" s="2">
        <v>4310.82</v>
      </c>
      <c r="L1808" s="2">
        <v>33.57</v>
      </c>
      <c r="M1808" s="2">
        <v>12839.76</v>
      </c>
      <c r="N1808" s="2">
        <v>8528.94</v>
      </c>
      <c r="O1808" s="2">
        <v>3881.88</v>
      </c>
      <c r="P1808" s="2">
        <v>33.57</v>
      </c>
    </row>
    <row r="1809" spans="1:16" x14ac:dyDescent="0.25">
      <c r="A1809" t="s">
        <v>15</v>
      </c>
      <c r="B1809" t="s">
        <v>2188</v>
      </c>
      <c r="C1809" t="s">
        <v>187</v>
      </c>
      <c r="D1809" t="s">
        <v>2243</v>
      </c>
      <c r="E1809" t="s">
        <v>47</v>
      </c>
      <c r="F1809" t="s">
        <v>222</v>
      </c>
      <c r="G1809" s="1">
        <f>45975</f>
        <v>45975</v>
      </c>
      <c r="H1809" t="s">
        <v>1755</v>
      </c>
      <c r="I1809" s="2">
        <v>1202</v>
      </c>
      <c r="J1809" s="2">
        <v>809.2</v>
      </c>
      <c r="K1809" s="2">
        <v>392.8</v>
      </c>
      <c r="L1809" s="2">
        <v>32.68</v>
      </c>
      <c r="M1809" s="2">
        <v>1202</v>
      </c>
      <c r="N1809" s="2">
        <v>809.2</v>
      </c>
      <c r="O1809" s="2">
        <v>383.8</v>
      </c>
      <c r="P1809" s="2">
        <v>32.68</v>
      </c>
    </row>
    <row r="1810" spans="1:16" x14ac:dyDescent="0.25">
      <c r="A1810" t="s">
        <v>15</v>
      </c>
      <c r="B1810" t="s">
        <v>2188</v>
      </c>
      <c r="C1810" t="s">
        <v>187</v>
      </c>
      <c r="D1810" t="s">
        <v>2244</v>
      </c>
      <c r="E1810" t="s">
        <v>47</v>
      </c>
      <c r="F1810" t="s">
        <v>193</v>
      </c>
      <c r="G1810" s="1">
        <f>45978</f>
        <v>45978</v>
      </c>
      <c r="H1810" t="s">
        <v>1755</v>
      </c>
      <c r="I1810" s="2">
        <v>814.16</v>
      </c>
      <c r="J1810" s="2">
        <v>545.04</v>
      </c>
      <c r="K1810" s="2">
        <v>269.12</v>
      </c>
      <c r="L1810" s="2">
        <v>33.049999999999997</v>
      </c>
      <c r="M1810" s="2">
        <v>814.16</v>
      </c>
      <c r="N1810" s="2">
        <v>545.04</v>
      </c>
      <c r="O1810" s="2">
        <v>179.12</v>
      </c>
      <c r="P1810" s="2">
        <v>33.049999999999997</v>
      </c>
    </row>
    <row r="1811" spans="1:16" x14ac:dyDescent="0.25">
      <c r="A1811" t="s">
        <v>15</v>
      </c>
      <c r="B1811" t="s">
        <v>2188</v>
      </c>
      <c r="C1811" t="s">
        <v>187</v>
      </c>
      <c r="D1811" t="s">
        <v>2245</v>
      </c>
      <c r="E1811" t="s">
        <v>47</v>
      </c>
      <c r="F1811" t="s">
        <v>211</v>
      </c>
      <c r="G1811" s="1">
        <f>45978</f>
        <v>45978</v>
      </c>
      <c r="H1811" t="s">
        <v>1755</v>
      </c>
      <c r="I1811" s="2">
        <v>2567.4</v>
      </c>
      <c r="J1811" s="2">
        <v>1715.03</v>
      </c>
      <c r="K1811" s="2">
        <v>852.37</v>
      </c>
      <c r="L1811" s="2">
        <v>33.200000000000003</v>
      </c>
      <c r="M1811" s="2">
        <v>0</v>
      </c>
      <c r="N1811" s="2">
        <v>1565.73</v>
      </c>
      <c r="O1811" s="2">
        <v>0</v>
      </c>
      <c r="P1811" s="2">
        <v>0</v>
      </c>
    </row>
    <row r="1812" spans="1:16" x14ac:dyDescent="0.25">
      <c r="A1812" t="s">
        <v>15</v>
      </c>
      <c r="B1812" t="s">
        <v>2188</v>
      </c>
      <c r="C1812" t="s">
        <v>187</v>
      </c>
      <c r="D1812" t="s">
        <v>2246</v>
      </c>
      <c r="E1812" t="s">
        <v>47</v>
      </c>
      <c r="F1812" t="s">
        <v>507</v>
      </c>
      <c r="G1812" s="1">
        <f>45978</f>
        <v>45978</v>
      </c>
      <c r="H1812" t="s">
        <v>1755</v>
      </c>
      <c r="I1812" s="2">
        <v>2461.1</v>
      </c>
      <c r="J1812" s="2">
        <v>1536.74</v>
      </c>
      <c r="K1812" s="2">
        <v>924.36</v>
      </c>
      <c r="L1812" s="2">
        <v>37.56</v>
      </c>
      <c r="M1812" s="2">
        <v>2461.1</v>
      </c>
      <c r="N1812" s="2">
        <v>1536.74</v>
      </c>
      <c r="O1812" s="2">
        <v>849.36</v>
      </c>
      <c r="P1812" s="2">
        <v>37.56</v>
      </c>
    </row>
    <row r="1813" spans="1:16" x14ac:dyDescent="0.25">
      <c r="A1813" t="s">
        <v>15</v>
      </c>
      <c r="B1813" t="s">
        <v>2188</v>
      </c>
      <c r="C1813" t="s">
        <v>187</v>
      </c>
      <c r="D1813" t="s">
        <v>2247</v>
      </c>
      <c r="E1813" t="s">
        <v>47</v>
      </c>
      <c r="F1813" t="s">
        <v>1229</v>
      </c>
      <c r="G1813" s="1">
        <f>45979</f>
        <v>45979</v>
      </c>
      <c r="H1813" t="s">
        <v>1755</v>
      </c>
      <c r="I1813" s="2">
        <v>1719.6</v>
      </c>
      <c r="J1813" s="2">
        <v>1163.3800000000001</v>
      </c>
      <c r="K1813" s="2">
        <v>556.22</v>
      </c>
      <c r="L1813" s="2">
        <v>32.35</v>
      </c>
      <c r="M1813" s="2">
        <v>1719.6</v>
      </c>
      <c r="N1813" s="2">
        <v>1163.3800000000001</v>
      </c>
      <c r="O1813" s="2">
        <v>536.91999999999996</v>
      </c>
      <c r="P1813" s="2">
        <v>32.35</v>
      </c>
    </row>
    <row r="1814" spans="1:16" x14ac:dyDescent="0.25">
      <c r="A1814" t="s">
        <v>15</v>
      </c>
      <c r="B1814" t="s">
        <v>2188</v>
      </c>
      <c r="C1814" t="s">
        <v>187</v>
      </c>
      <c r="D1814" t="s">
        <v>2248</v>
      </c>
      <c r="E1814" t="s">
        <v>47</v>
      </c>
      <c r="F1814" t="s">
        <v>211</v>
      </c>
      <c r="G1814" s="1">
        <f>45980</f>
        <v>45980</v>
      </c>
      <c r="H1814" t="s">
        <v>1755</v>
      </c>
      <c r="I1814" s="2">
        <v>2387.1</v>
      </c>
      <c r="J1814" s="2">
        <v>1616.9</v>
      </c>
      <c r="K1814" s="2">
        <v>770.2</v>
      </c>
      <c r="L1814" s="2">
        <v>32.270000000000003</v>
      </c>
      <c r="M1814" s="2">
        <v>2387.1</v>
      </c>
      <c r="N1814" s="2">
        <v>1596.9</v>
      </c>
      <c r="O1814" s="2">
        <v>578.20000000000005</v>
      </c>
      <c r="P1814" s="2">
        <v>33.1</v>
      </c>
    </row>
    <row r="1815" spans="1:16" x14ac:dyDescent="0.25">
      <c r="A1815" t="s">
        <v>15</v>
      </c>
      <c r="B1815" t="s">
        <v>2188</v>
      </c>
      <c r="C1815" t="s">
        <v>187</v>
      </c>
      <c r="D1815" t="s">
        <v>2249</v>
      </c>
      <c r="E1815" t="s">
        <v>47</v>
      </c>
      <c r="F1815" t="s">
        <v>191</v>
      </c>
      <c r="G1815" s="1">
        <f>45980</f>
        <v>45980</v>
      </c>
      <c r="H1815" t="s">
        <v>1755</v>
      </c>
      <c r="I1815" s="2">
        <v>1230.4000000000001</v>
      </c>
      <c r="J1815" s="2">
        <v>833.25</v>
      </c>
      <c r="K1815" s="2">
        <v>397.15</v>
      </c>
      <c r="L1815" s="2">
        <v>32.28</v>
      </c>
      <c r="M1815" s="2">
        <v>0</v>
      </c>
      <c r="N1815" s="2">
        <v>0</v>
      </c>
      <c r="O1815" s="2">
        <v>0</v>
      </c>
      <c r="P1815" s="2">
        <v>0</v>
      </c>
    </row>
    <row r="1816" spans="1:16" x14ac:dyDescent="0.25">
      <c r="A1816" t="s">
        <v>15</v>
      </c>
      <c r="B1816" t="s">
        <v>2188</v>
      </c>
      <c r="C1816" t="s">
        <v>187</v>
      </c>
      <c r="D1816" t="s">
        <v>2250</v>
      </c>
      <c r="E1816" t="s">
        <v>47</v>
      </c>
      <c r="F1816" t="s">
        <v>224</v>
      </c>
      <c r="G1816" s="1">
        <f>45981</f>
        <v>45981</v>
      </c>
      <c r="H1816" t="s">
        <v>1755</v>
      </c>
      <c r="I1816" s="2">
        <v>2077</v>
      </c>
      <c r="J1816" s="2">
        <v>1530.49</v>
      </c>
      <c r="K1816" s="2">
        <v>546.51</v>
      </c>
      <c r="L1816" s="2">
        <v>26.31</v>
      </c>
      <c r="M1816" s="2">
        <v>2077</v>
      </c>
      <c r="N1816" s="2">
        <v>1530.49</v>
      </c>
      <c r="O1816" s="2">
        <v>487.51</v>
      </c>
      <c r="P1816" s="2">
        <v>26.31</v>
      </c>
    </row>
    <row r="1817" spans="1:16" x14ac:dyDescent="0.25">
      <c r="A1817" t="s">
        <v>15</v>
      </c>
      <c r="B1817" t="s">
        <v>2188</v>
      </c>
      <c r="C1817" t="s">
        <v>187</v>
      </c>
      <c r="D1817" t="s">
        <v>2251</v>
      </c>
      <c r="E1817" t="s">
        <v>47</v>
      </c>
      <c r="F1817" t="s">
        <v>1758</v>
      </c>
      <c r="G1817" s="1">
        <f>45985</f>
        <v>45985</v>
      </c>
      <c r="H1817" t="s">
        <v>1755</v>
      </c>
      <c r="I1817" s="2">
        <v>645.1</v>
      </c>
      <c r="J1817" s="2">
        <v>445.15</v>
      </c>
      <c r="K1817" s="2">
        <v>199.95</v>
      </c>
      <c r="L1817" s="2">
        <v>31</v>
      </c>
      <c r="M1817" s="2">
        <v>0</v>
      </c>
      <c r="N1817" s="2">
        <v>0</v>
      </c>
      <c r="O1817" s="2">
        <v>0</v>
      </c>
      <c r="P1817" s="2">
        <v>0</v>
      </c>
    </row>
    <row r="1818" spans="1:16" x14ac:dyDescent="0.25">
      <c r="A1818" t="s">
        <v>15</v>
      </c>
      <c r="B1818" t="s">
        <v>2188</v>
      </c>
      <c r="C1818" t="s">
        <v>187</v>
      </c>
      <c r="D1818" t="s">
        <v>2252</v>
      </c>
      <c r="E1818" t="s">
        <v>47</v>
      </c>
      <c r="F1818" t="s">
        <v>191</v>
      </c>
      <c r="G1818" s="1">
        <f>45985</f>
        <v>45985</v>
      </c>
      <c r="H1818" t="s">
        <v>1755</v>
      </c>
      <c r="I1818" s="2">
        <v>4676.5</v>
      </c>
      <c r="J1818" s="2">
        <v>3248.46</v>
      </c>
      <c r="K1818" s="2">
        <v>1428.04</v>
      </c>
      <c r="L1818" s="2">
        <v>30.54</v>
      </c>
      <c r="M1818" s="2">
        <v>0</v>
      </c>
      <c r="N1818" s="2">
        <v>328.84</v>
      </c>
      <c r="O1818" s="2">
        <v>0</v>
      </c>
      <c r="P1818" s="2">
        <v>0</v>
      </c>
    </row>
    <row r="1819" spans="1:16" x14ac:dyDescent="0.25">
      <c r="A1819" t="s">
        <v>15</v>
      </c>
      <c r="B1819" t="s">
        <v>2188</v>
      </c>
      <c r="C1819" t="s">
        <v>187</v>
      </c>
      <c r="D1819" t="s">
        <v>2253</v>
      </c>
      <c r="E1819" t="s">
        <v>47</v>
      </c>
      <c r="F1819" t="s">
        <v>189</v>
      </c>
      <c r="G1819" s="1">
        <f>45985</f>
        <v>45985</v>
      </c>
      <c r="H1819" t="s">
        <v>1755</v>
      </c>
      <c r="I1819" s="2">
        <v>544.70000000000005</v>
      </c>
      <c r="J1819" s="2">
        <v>363.02</v>
      </c>
      <c r="K1819" s="2">
        <v>181.68</v>
      </c>
      <c r="L1819" s="2">
        <v>33.35</v>
      </c>
      <c r="M1819" s="2">
        <v>544.70000000000005</v>
      </c>
      <c r="N1819" s="2">
        <v>363.02</v>
      </c>
      <c r="O1819" s="2">
        <v>156.68</v>
      </c>
      <c r="P1819" s="2">
        <v>33.35</v>
      </c>
    </row>
    <row r="1820" spans="1:16" x14ac:dyDescent="0.25">
      <c r="A1820" t="s">
        <v>15</v>
      </c>
      <c r="B1820" t="s">
        <v>2188</v>
      </c>
      <c r="C1820" t="s">
        <v>187</v>
      </c>
      <c r="D1820" t="s">
        <v>2254</v>
      </c>
      <c r="E1820" t="s">
        <v>47</v>
      </c>
      <c r="F1820" t="s">
        <v>200</v>
      </c>
      <c r="G1820" s="1">
        <f>45986</f>
        <v>45986</v>
      </c>
      <c r="H1820" t="s">
        <v>1755</v>
      </c>
      <c r="I1820" s="2">
        <v>3732</v>
      </c>
      <c r="J1820" s="2">
        <v>2603.2800000000002</v>
      </c>
      <c r="K1820" s="2">
        <v>1128.72</v>
      </c>
      <c r="L1820" s="2">
        <v>30.24</v>
      </c>
      <c r="M1820" s="2">
        <v>3732</v>
      </c>
      <c r="N1820" s="2">
        <v>2603.2800000000002</v>
      </c>
      <c r="O1820" s="2">
        <v>1021.84</v>
      </c>
      <c r="P1820" s="2">
        <v>30.24</v>
      </c>
    </row>
    <row r="1821" spans="1:16" x14ac:dyDescent="0.25">
      <c r="A1821" t="s">
        <v>15</v>
      </c>
      <c r="B1821" t="s">
        <v>2188</v>
      </c>
      <c r="C1821" t="s">
        <v>187</v>
      </c>
      <c r="D1821" t="s">
        <v>2255</v>
      </c>
      <c r="E1821" t="s">
        <v>47</v>
      </c>
      <c r="F1821" t="s">
        <v>1935</v>
      </c>
      <c r="G1821" s="1">
        <f>45986</f>
        <v>45986</v>
      </c>
      <c r="H1821" t="s">
        <v>1755</v>
      </c>
      <c r="I1821" s="2">
        <v>367.2</v>
      </c>
      <c r="J1821" s="2">
        <v>257.04000000000002</v>
      </c>
      <c r="K1821" s="2">
        <v>110.16</v>
      </c>
      <c r="L1821" s="2">
        <v>30</v>
      </c>
      <c r="M1821" s="2">
        <v>0</v>
      </c>
      <c r="N1821" s="2">
        <v>254.75</v>
      </c>
      <c r="O1821" s="2">
        <v>0</v>
      </c>
      <c r="P1821" s="2">
        <v>0</v>
      </c>
    </row>
    <row r="1822" spans="1:16" x14ac:dyDescent="0.25">
      <c r="A1822" t="s">
        <v>15</v>
      </c>
      <c r="B1822" t="s">
        <v>2188</v>
      </c>
      <c r="C1822" t="s">
        <v>187</v>
      </c>
      <c r="D1822" t="s">
        <v>2256</v>
      </c>
      <c r="E1822" t="s">
        <v>47</v>
      </c>
      <c r="F1822" t="s">
        <v>2257</v>
      </c>
      <c r="G1822" s="1">
        <f>45986</f>
        <v>45986</v>
      </c>
      <c r="H1822" t="s">
        <v>1755</v>
      </c>
      <c r="I1822" s="2">
        <v>1623.5</v>
      </c>
      <c r="J1822" s="2">
        <v>1122.29</v>
      </c>
      <c r="K1822" s="2">
        <v>501.21</v>
      </c>
      <c r="L1822" s="2">
        <v>30.87</v>
      </c>
      <c r="M1822" s="2">
        <v>1623.5</v>
      </c>
      <c r="N1822" s="2">
        <v>1122.29</v>
      </c>
      <c r="O1822" s="2">
        <v>452.21</v>
      </c>
      <c r="P1822" s="2">
        <v>30.87</v>
      </c>
    </row>
    <row r="1823" spans="1:16" x14ac:dyDescent="0.25">
      <c r="A1823" t="s">
        <v>15</v>
      </c>
      <c r="B1823" t="s">
        <v>2188</v>
      </c>
      <c r="C1823" t="s">
        <v>187</v>
      </c>
      <c r="D1823" t="s">
        <v>2258</v>
      </c>
      <c r="E1823" t="s">
        <v>47</v>
      </c>
      <c r="F1823" t="s">
        <v>2118</v>
      </c>
      <c r="G1823" s="1">
        <f>45987</f>
        <v>45987</v>
      </c>
      <c r="H1823" t="s">
        <v>1755</v>
      </c>
      <c r="I1823" s="2">
        <v>150</v>
      </c>
      <c r="J1823" s="2">
        <v>30.06</v>
      </c>
      <c r="K1823" s="2">
        <v>119.94</v>
      </c>
      <c r="L1823" s="2">
        <v>79.959999999999994</v>
      </c>
      <c r="M1823" s="2">
        <v>150</v>
      </c>
      <c r="N1823" s="2">
        <v>30.06</v>
      </c>
      <c r="O1823" s="2">
        <v>119.94</v>
      </c>
      <c r="P1823" s="2">
        <v>79.959999999999994</v>
      </c>
    </row>
    <row r="1824" spans="1:16" x14ac:dyDescent="0.25">
      <c r="A1824" t="s">
        <v>15</v>
      </c>
      <c r="B1824" t="s">
        <v>2188</v>
      </c>
      <c r="C1824" t="s">
        <v>187</v>
      </c>
      <c r="D1824" t="s">
        <v>2259</v>
      </c>
      <c r="E1824" t="s">
        <v>47</v>
      </c>
      <c r="F1824" t="s">
        <v>1758</v>
      </c>
      <c r="G1824" s="1">
        <f>45988</f>
        <v>45988</v>
      </c>
      <c r="H1824" t="s">
        <v>2422</v>
      </c>
      <c r="I1824" s="2">
        <v>458.1</v>
      </c>
      <c r="J1824" s="2">
        <v>314.20999999999998</v>
      </c>
      <c r="K1824" s="2">
        <v>143.88999999999999</v>
      </c>
      <c r="L1824" s="2">
        <v>31.41</v>
      </c>
      <c r="M1824" s="2">
        <v>0</v>
      </c>
      <c r="N1824" s="2">
        <v>302.89999999999998</v>
      </c>
      <c r="O1824" s="2">
        <v>0</v>
      </c>
      <c r="P1824" s="2">
        <v>0</v>
      </c>
    </row>
    <row r="1825" spans="1:16" x14ac:dyDescent="0.25">
      <c r="A1825" t="s">
        <v>15</v>
      </c>
      <c r="B1825" t="s">
        <v>2188</v>
      </c>
      <c r="C1825" t="s">
        <v>187</v>
      </c>
      <c r="D1825" t="s">
        <v>2260</v>
      </c>
      <c r="E1825" t="s">
        <v>47</v>
      </c>
      <c r="F1825" t="s">
        <v>2261</v>
      </c>
      <c r="G1825" s="1">
        <f>45988</f>
        <v>45988</v>
      </c>
      <c r="H1825" t="s">
        <v>2422</v>
      </c>
      <c r="I1825" s="2">
        <v>651.20000000000005</v>
      </c>
      <c r="J1825" s="2">
        <v>418</v>
      </c>
      <c r="K1825" s="2">
        <v>233.2</v>
      </c>
      <c r="L1825" s="2">
        <v>35.81</v>
      </c>
      <c r="M1825" s="2">
        <v>651.20000000000005</v>
      </c>
      <c r="N1825" s="2">
        <v>418</v>
      </c>
      <c r="O1825" s="2">
        <v>189.2</v>
      </c>
      <c r="P1825" s="2">
        <v>35.81</v>
      </c>
    </row>
    <row r="1826" spans="1:16" x14ac:dyDescent="0.25">
      <c r="A1826" t="s">
        <v>15</v>
      </c>
      <c r="B1826" t="s">
        <v>2188</v>
      </c>
      <c r="C1826" t="s">
        <v>187</v>
      </c>
      <c r="D1826" t="s">
        <v>2262</v>
      </c>
      <c r="E1826" t="s">
        <v>47</v>
      </c>
      <c r="F1826" t="s">
        <v>228</v>
      </c>
      <c r="G1826" s="1">
        <f>45988</f>
        <v>45988</v>
      </c>
      <c r="H1826" t="s">
        <v>1755</v>
      </c>
      <c r="I1826" s="2">
        <v>4337</v>
      </c>
      <c r="J1826" s="2">
        <v>2111.34</v>
      </c>
      <c r="K1826" s="2">
        <v>2225.66</v>
      </c>
      <c r="L1826" s="2">
        <v>51.32</v>
      </c>
      <c r="M1826" s="2">
        <v>4337</v>
      </c>
      <c r="N1826" s="2">
        <v>2111.34</v>
      </c>
      <c r="O1826" s="2">
        <v>2104.92</v>
      </c>
      <c r="P1826" s="2">
        <v>51.32</v>
      </c>
    </row>
    <row r="1827" spans="1:16" x14ac:dyDescent="0.25">
      <c r="A1827" t="s">
        <v>15</v>
      </c>
      <c r="B1827" t="s">
        <v>2188</v>
      </c>
      <c r="C1827" t="s">
        <v>187</v>
      </c>
      <c r="D1827" t="s">
        <v>2263</v>
      </c>
      <c r="E1827" t="s">
        <v>47</v>
      </c>
      <c r="F1827" t="s">
        <v>189</v>
      </c>
      <c r="G1827" s="1">
        <f>45989</f>
        <v>45989</v>
      </c>
      <c r="H1827" t="s">
        <v>1755</v>
      </c>
      <c r="I1827" s="2">
        <v>2620.6</v>
      </c>
      <c r="J1827" s="2">
        <v>1505</v>
      </c>
      <c r="K1827" s="2">
        <v>1115.5999999999999</v>
      </c>
      <c r="L1827" s="2">
        <v>42.57</v>
      </c>
      <c r="M1827" s="2">
        <v>0</v>
      </c>
      <c r="N1827" s="2">
        <v>0</v>
      </c>
      <c r="O1827" s="2">
        <v>0</v>
      </c>
      <c r="P1827" s="2">
        <v>0</v>
      </c>
    </row>
    <row r="1828" spans="1:16" x14ac:dyDescent="0.25">
      <c r="A1828" t="s">
        <v>15</v>
      </c>
      <c r="B1828" t="s">
        <v>2188</v>
      </c>
      <c r="C1828" t="s">
        <v>187</v>
      </c>
      <c r="D1828" t="s">
        <v>2264</v>
      </c>
      <c r="E1828" t="s">
        <v>47</v>
      </c>
      <c r="F1828" t="s">
        <v>219</v>
      </c>
      <c r="G1828" s="1">
        <f>45989</f>
        <v>45989</v>
      </c>
      <c r="H1828" t="s">
        <v>1755</v>
      </c>
      <c r="I1828" s="2">
        <v>728.7</v>
      </c>
      <c r="J1828" s="2">
        <v>497.39</v>
      </c>
      <c r="K1828" s="2">
        <v>231.31</v>
      </c>
      <c r="L1828" s="2">
        <v>31.74</v>
      </c>
      <c r="M1828" s="2">
        <v>0</v>
      </c>
      <c r="N1828" s="2">
        <v>0</v>
      </c>
      <c r="O1828" s="2">
        <v>0</v>
      </c>
      <c r="P1828" s="2">
        <v>0</v>
      </c>
    </row>
    <row r="1829" spans="1:16" x14ac:dyDescent="0.25">
      <c r="A1829" t="s">
        <v>15</v>
      </c>
      <c r="B1829" t="s">
        <v>2188</v>
      </c>
      <c r="C1829" t="s">
        <v>187</v>
      </c>
      <c r="D1829" t="s">
        <v>2265</v>
      </c>
      <c r="E1829" t="s">
        <v>47</v>
      </c>
      <c r="F1829" t="s">
        <v>507</v>
      </c>
      <c r="G1829" s="1">
        <f>45979</f>
        <v>45979</v>
      </c>
      <c r="H1829" t="s">
        <v>1755</v>
      </c>
      <c r="I1829" s="2">
        <v>1870</v>
      </c>
      <c r="J1829" s="2">
        <v>1253.23</v>
      </c>
      <c r="K1829" s="2">
        <v>616.77</v>
      </c>
      <c r="L1829" s="2">
        <v>32.979999999999997</v>
      </c>
      <c r="M1829" s="2">
        <v>1870</v>
      </c>
      <c r="N1829" s="2">
        <v>1253.23</v>
      </c>
      <c r="O1829" s="2">
        <v>570.64</v>
      </c>
      <c r="P1829" s="2">
        <v>32.979999999999997</v>
      </c>
    </row>
    <row r="1830" spans="1:16" x14ac:dyDescent="0.25">
      <c r="A1830" t="s">
        <v>15</v>
      </c>
      <c r="B1830" t="s">
        <v>2188</v>
      </c>
      <c r="C1830" t="s">
        <v>252</v>
      </c>
      <c r="D1830" t="s">
        <v>2266</v>
      </c>
      <c r="E1830" t="s">
        <v>47</v>
      </c>
      <c r="F1830" t="s">
        <v>574</v>
      </c>
      <c r="G1830" s="1">
        <f>45965</f>
        <v>45965</v>
      </c>
      <c r="H1830" t="s">
        <v>2422</v>
      </c>
      <c r="I1830" s="2">
        <v>482.8</v>
      </c>
      <c r="J1830" s="2">
        <v>316.58</v>
      </c>
      <c r="K1830" s="2">
        <v>166.22</v>
      </c>
      <c r="L1830" s="2">
        <v>34.43</v>
      </c>
      <c r="M1830" s="2">
        <v>482.8</v>
      </c>
      <c r="N1830" s="2">
        <v>316.57</v>
      </c>
      <c r="O1830" s="2">
        <v>163.41</v>
      </c>
      <c r="P1830" s="2">
        <v>34.43</v>
      </c>
    </row>
    <row r="1831" spans="1:16" x14ac:dyDescent="0.25">
      <c r="A1831" t="s">
        <v>15</v>
      </c>
      <c r="B1831" t="s">
        <v>2188</v>
      </c>
      <c r="C1831" t="s">
        <v>252</v>
      </c>
      <c r="D1831" t="s">
        <v>2267</v>
      </c>
      <c r="E1831" t="s">
        <v>47</v>
      </c>
      <c r="F1831" t="s">
        <v>286</v>
      </c>
      <c r="G1831" s="1">
        <f>45965</f>
        <v>45965</v>
      </c>
      <c r="H1831" t="s">
        <v>2422</v>
      </c>
      <c r="I1831" s="2">
        <v>3750.3</v>
      </c>
      <c r="J1831" s="2">
        <v>2477.4499999999998</v>
      </c>
      <c r="K1831" s="2">
        <v>1272.8499999999999</v>
      </c>
      <c r="L1831" s="2">
        <v>33.94</v>
      </c>
      <c r="M1831" s="2">
        <v>218.9</v>
      </c>
      <c r="N1831" s="2">
        <v>142.94999999999999</v>
      </c>
      <c r="O1831" s="2">
        <v>21.95</v>
      </c>
      <c r="P1831" s="2">
        <v>34.700000000000003</v>
      </c>
    </row>
    <row r="1832" spans="1:16" x14ac:dyDescent="0.25">
      <c r="A1832" t="s">
        <v>15</v>
      </c>
      <c r="B1832" t="s">
        <v>2188</v>
      </c>
      <c r="C1832" t="s">
        <v>252</v>
      </c>
      <c r="D1832" t="s">
        <v>2268</v>
      </c>
      <c r="E1832" t="s">
        <v>47</v>
      </c>
      <c r="F1832" t="s">
        <v>254</v>
      </c>
      <c r="G1832" s="1">
        <f>45965</f>
        <v>45965</v>
      </c>
      <c r="H1832" t="s">
        <v>2422</v>
      </c>
      <c r="I1832" s="2">
        <v>2294.6999999999998</v>
      </c>
      <c r="J1832" s="2">
        <v>1548.31</v>
      </c>
      <c r="K1832" s="2">
        <v>746.39</v>
      </c>
      <c r="L1832" s="2">
        <v>32.53</v>
      </c>
      <c r="M1832" s="2">
        <v>2294.6999999999998</v>
      </c>
      <c r="N1832" s="2">
        <v>1548.31</v>
      </c>
      <c r="O1832" s="2">
        <v>722.39</v>
      </c>
      <c r="P1832" s="2">
        <v>32.53</v>
      </c>
    </row>
    <row r="1833" spans="1:16" x14ac:dyDescent="0.25">
      <c r="A1833" t="s">
        <v>15</v>
      </c>
      <c r="B1833" t="s">
        <v>2188</v>
      </c>
      <c r="C1833" t="s">
        <v>252</v>
      </c>
      <c r="D1833" t="s">
        <v>2269</v>
      </c>
      <c r="E1833" t="s">
        <v>47</v>
      </c>
      <c r="F1833" t="s">
        <v>1064</v>
      </c>
      <c r="G1833" s="1">
        <f>45965</f>
        <v>45965</v>
      </c>
      <c r="H1833" t="s">
        <v>2422</v>
      </c>
      <c r="I1833" s="2">
        <v>1326</v>
      </c>
      <c r="J1833" s="2">
        <v>871.83</v>
      </c>
      <c r="K1833" s="2">
        <v>454.17</v>
      </c>
      <c r="L1833" s="2">
        <v>34.25</v>
      </c>
      <c r="M1833" s="2">
        <v>1326</v>
      </c>
      <c r="N1833" s="2">
        <v>871.83</v>
      </c>
      <c r="O1833" s="2">
        <v>338.17</v>
      </c>
      <c r="P1833" s="2">
        <v>34.25</v>
      </c>
    </row>
    <row r="1834" spans="1:16" x14ac:dyDescent="0.25">
      <c r="A1834" t="s">
        <v>15</v>
      </c>
      <c r="B1834" t="s">
        <v>2188</v>
      </c>
      <c r="C1834" t="s">
        <v>252</v>
      </c>
      <c r="D1834" t="s">
        <v>2270</v>
      </c>
      <c r="E1834" t="s">
        <v>47</v>
      </c>
      <c r="F1834" t="s">
        <v>303</v>
      </c>
      <c r="G1834" s="1">
        <f>45966</f>
        <v>45966</v>
      </c>
      <c r="H1834" t="s">
        <v>2422</v>
      </c>
      <c r="I1834" s="2">
        <v>1028.4000000000001</v>
      </c>
      <c r="J1834" s="2">
        <v>692.6</v>
      </c>
      <c r="K1834" s="2">
        <v>335.81</v>
      </c>
      <c r="L1834" s="2">
        <v>32.65</v>
      </c>
      <c r="M1834" s="2">
        <v>1023.4</v>
      </c>
      <c r="N1834" s="2">
        <v>692.6</v>
      </c>
      <c r="O1834" s="2">
        <v>289.81</v>
      </c>
      <c r="P1834" s="2">
        <v>32.32</v>
      </c>
    </row>
    <row r="1835" spans="1:16" x14ac:dyDescent="0.25">
      <c r="A1835" t="s">
        <v>15</v>
      </c>
      <c r="B1835" t="s">
        <v>2188</v>
      </c>
      <c r="C1835" t="s">
        <v>252</v>
      </c>
      <c r="D1835" t="s">
        <v>2271</v>
      </c>
      <c r="E1835" t="s">
        <v>47</v>
      </c>
      <c r="F1835" t="s">
        <v>290</v>
      </c>
      <c r="G1835" s="1">
        <f>45966</f>
        <v>45966</v>
      </c>
      <c r="H1835" t="s">
        <v>2422</v>
      </c>
      <c r="I1835" s="2">
        <v>158.9</v>
      </c>
      <c r="J1835" s="2">
        <v>67.09</v>
      </c>
      <c r="K1835" s="2">
        <v>91.81</v>
      </c>
      <c r="L1835" s="2">
        <v>57.78</v>
      </c>
      <c r="M1835" s="2">
        <v>158.9</v>
      </c>
      <c r="N1835" s="2">
        <v>67.09</v>
      </c>
      <c r="O1835" s="2">
        <v>82.81</v>
      </c>
      <c r="P1835" s="2">
        <v>57.78</v>
      </c>
    </row>
    <row r="1836" spans="1:16" x14ac:dyDescent="0.25">
      <c r="A1836" t="s">
        <v>15</v>
      </c>
      <c r="B1836" t="s">
        <v>2188</v>
      </c>
      <c r="C1836" t="s">
        <v>252</v>
      </c>
      <c r="D1836" t="s">
        <v>2272</v>
      </c>
      <c r="E1836" t="s">
        <v>47</v>
      </c>
      <c r="F1836" t="s">
        <v>272</v>
      </c>
      <c r="G1836" s="1">
        <f>45966</f>
        <v>45966</v>
      </c>
      <c r="H1836" t="s">
        <v>2422</v>
      </c>
      <c r="I1836" s="2">
        <v>1600</v>
      </c>
      <c r="J1836" s="2">
        <v>1057.8</v>
      </c>
      <c r="K1836" s="2">
        <v>542.20000000000005</v>
      </c>
      <c r="L1836" s="2">
        <v>33.89</v>
      </c>
      <c r="M1836" s="2">
        <v>1600</v>
      </c>
      <c r="N1836" s="2">
        <v>1057.8</v>
      </c>
      <c r="O1836" s="2">
        <v>443.2</v>
      </c>
      <c r="P1836" s="2">
        <v>33.89</v>
      </c>
    </row>
    <row r="1837" spans="1:16" x14ac:dyDescent="0.25">
      <c r="A1837" t="s">
        <v>15</v>
      </c>
      <c r="B1837" t="s">
        <v>2188</v>
      </c>
      <c r="C1837" t="s">
        <v>252</v>
      </c>
      <c r="D1837" t="s">
        <v>2273</v>
      </c>
      <c r="E1837" t="s">
        <v>47</v>
      </c>
      <c r="F1837" t="s">
        <v>295</v>
      </c>
      <c r="G1837" s="1">
        <f>45966</f>
        <v>45966</v>
      </c>
      <c r="H1837" t="s">
        <v>2422</v>
      </c>
      <c r="I1837" s="2">
        <v>1268.5</v>
      </c>
      <c r="J1837" s="2">
        <v>842.17</v>
      </c>
      <c r="K1837" s="2">
        <v>426.33</v>
      </c>
      <c r="L1837" s="2">
        <v>33.61</v>
      </c>
      <c r="M1837" s="2">
        <v>1268.5</v>
      </c>
      <c r="N1837" s="2">
        <v>842.17</v>
      </c>
      <c r="O1837" s="2">
        <v>426.33</v>
      </c>
      <c r="P1837" s="2">
        <v>33.61</v>
      </c>
    </row>
    <row r="1838" spans="1:16" x14ac:dyDescent="0.25">
      <c r="A1838" t="s">
        <v>15</v>
      </c>
      <c r="B1838" t="s">
        <v>2188</v>
      </c>
      <c r="C1838" t="s">
        <v>252</v>
      </c>
      <c r="D1838" t="s">
        <v>2274</v>
      </c>
      <c r="E1838" t="s">
        <v>47</v>
      </c>
      <c r="F1838" t="s">
        <v>279</v>
      </c>
      <c r="G1838" s="1">
        <f>45967</f>
        <v>45967</v>
      </c>
      <c r="H1838" t="s">
        <v>2422</v>
      </c>
      <c r="I1838" s="2">
        <v>8580.77</v>
      </c>
      <c r="J1838" s="2">
        <v>4925.96</v>
      </c>
      <c r="K1838" s="2">
        <v>3654.81</v>
      </c>
      <c r="L1838" s="2">
        <v>42.59</v>
      </c>
      <c r="M1838" s="2">
        <v>8580.77</v>
      </c>
      <c r="N1838" s="2">
        <v>4884.96</v>
      </c>
      <c r="O1838" s="2">
        <v>3647.16</v>
      </c>
      <c r="P1838" s="2">
        <v>43.07</v>
      </c>
    </row>
    <row r="1839" spans="1:16" x14ac:dyDescent="0.25">
      <c r="A1839" t="s">
        <v>15</v>
      </c>
      <c r="B1839" t="s">
        <v>2188</v>
      </c>
      <c r="C1839" t="s">
        <v>252</v>
      </c>
      <c r="D1839" t="s">
        <v>2275</v>
      </c>
      <c r="E1839" t="s">
        <v>47</v>
      </c>
      <c r="F1839" t="s">
        <v>2276</v>
      </c>
      <c r="G1839" s="1">
        <f>45967</f>
        <v>45967</v>
      </c>
      <c r="H1839" t="s">
        <v>2422</v>
      </c>
      <c r="I1839" s="2">
        <v>331.3</v>
      </c>
      <c r="J1839" s="2">
        <v>255.5</v>
      </c>
      <c r="K1839" s="2">
        <v>75.8</v>
      </c>
      <c r="L1839" s="2">
        <v>22.88</v>
      </c>
      <c r="M1839" s="2">
        <v>0</v>
      </c>
      <c r="N1839" s="2">
        <v>201.5</v>
      </c>
      <c r="O1839" s="2">
        <v>0</v>
      </c>
      <c r="P1839" s="2">
        <v>0</v>
      </c>
    </row>
    <row r="1840" spans="1:16" x14ac:dyDescent="0.25">
      <c r="A1840" t="s">
        <v>15</v>
      </c>
      <c r="B1840" t="s">
        <v>2188</v>
      </c>
      <c r="C1840" t="s">
        <v>252</v>
      </c>
      <c r="D1840" t="s">
        <v>2277</v>
      </c>
      <c r="E1840" t="s">
        <v>47</v>
      </c>
      <c r="F1840" t="s">
        <v>258</v>
      </c>
      <c r="G1840" s="1">
        <f>45967</f>
        <v>45967</v>
      </c>
      <c r="H1840" t="s">
        <v>2422</v>
      </c>
      <c r="I1840" s="2">
        <v>356</v>
      </c>
      <c r="J1840" s="2">
        <v>236</v>
      </c>
      <c r="K1840" s="2">
        <v>120</v>
      </c>
      <c r="L1840" s="2">
        <v>33.71</v>
      </c>
      <c r="M1840" s="2">
        <v>356</v>
      </c>
      <c r="N1840" s="2">
        <v>236</v>
      </c>
      <c r="O1840" s="2">
        <v>83</v>
      </c>
      <c r="P1840" s="2">
        <v>33.71</v>
      </c>
    </row>
    <row r="1841" spans="1:16" x14ac:dyDescent="0.25">
      <c r="A1841" t="s">
        <v>15</v>
      </c>
      <c r="B1841" t="s">
        <v>2188</v>
      </c>
      <c r="C1841" t="s">
        <v>252</v>
      </c>
      <c r="D1841" t="s">
        <v>2278</v>
      </c>
      <c r="E1841" t="s">
        <v>47</v>
      </c>
      <c r="F1841" t="s">
        <v>579</v>
      </c>
      <c r="G1841" s="1">
        <f>45968</f>
        <v>45968</v>
      </c>
      <c r="H1841" t="s">
        <v>2422</v>
      </c>
      <c r="I1841" s="2">
        <v>2508.3000000000002</v>
      </c>
      <c r="J1841" s="2">
        <v>2447.9499999999998</v>
      </c>
      <c r="K1841" s="2">
        <v>60.35</v>
      </c>
      <c r="L1841" s="2">
        <v>2.41</v>
      </c>
      <c r="M1841" s="2">
        <v>2508.3000000000002</v>
      </c>
      <c r="N1841" s="2">
        <v>2494.17</v>
      </c>
      <c r="O1841" s="2">
        <v>-50.47</v>
      </c>
      <c r="P1841" s="2">
        <v>0.56000000000000005</v>
      </c>
    </row>
    <row r="1842" spans="1:16" x14ac:dyDescent="0.25">
      <c r="A1842" t="s">
        <v>15</v>
      </c>
      <c r="B1842" t="s">
        <v>2188</v>
      </c>
      <c r="C1842" t="s">
        <v>252</v>
      </c>
      <c r="D1842" t="s">
        <v>2279</v>
      </c>
      <c r="E1842" t="s">
        <v>47</v>
      </c>
      <c r="F1842" t="s">
        <v>579</v>
      </c>
      <c r="G1842" s="1">
        <f>45974</f>
        <v>45974</v>
      </c>
      <c r="H1842" t="s">
        <v>2422</v>
      </c>
      <c r="I1842" s="2">
        <v>1014.08</v>
      </c>
      <c r="J1842" s="2">
        <v>688.63</v>
      </c>
      <c r="K1842" s="2">
        <v>325.45</v>
      </c>
      <c r="L1842" s="2">
        <v>32.090000000000003</v>
      </c>
      <c r="M1842" s="2">
        <v>1014.08</v>
      </c>
      <c r="N1842" s="2">
        <v>688.63</v>
      </c>
      <c r="O1842" s="2">
        <v>309.39999999999998</v>
      </c>
      <c r="P1842" s="2">
        <v>32.090000000000003</v>
      </c>
    </row>
    <row r="1843" spans="1:16" x14ac:dyDescent="0.25">
      <c r="A1843" t="s">
        <v>15</v>
      </c>
      <c r="B1843" t="s">
        <v>2188</v>
      </c>
      <c r="C1843" t="s">
        <v>252</v>
      </c>
      <c r="D1843" t="s">
        <v>2280</v>
      </c>
      <c r="E1843" t="s">
        <v>47</v>
      </c>
      <c r="F1843" t="s">
        <v>563</v>
      </c>
      <c r="G1843" s="1">
        <f>45974</f>
        <v>45974</v>
      </c>
      <c r="H1843" t="s">
        <v>2422</v>
      </c>
      <c r="I1843" s="2">
        <v>2164</v>
      </c>
      <c r="J1843" s="2">
        <v>1465.76</v>
      </c>
      <c r="K1843" s="2">
        <v>698.24</v>
      </c>
      <c r="L1843" s="2">
        <v>32.270000000000003</v>
      </c>
      <c r="M1843" s="2">
        <v>2164</v>
      </c>
      <c r="N1843" s="2">
        <v>1465.76</v>
      </c>
      <c r="O1843" s="2">
        <v>656.48</v>
      </c>
      <c r="P1843" s="2">
        <v>32.270000000000003</v>
      </c>
    </row>
    <row r="1844" spans="1:16" x14ac:dyDescent="0.25">
      <c r="A1844" t="s">
        <v>15</v>
      </c>
      <c r="B1844" t="s">
        <v>2188</v>
      </c>
      <c r="C1844" t="s">
        <v>252</v>
      </c>
      <c r="D1844" t="s">
        <v>2281</v>
      </c>
      <c r="E1844" t="s">
        <v>47</v>
      </c>
      <c r="F1844" t="s">
        <v>2282</v>
      </c>
      <c r="G1844" s="1">
        <f>45975</f>
        <v>45975</v>
      </c>
      <c r="H1844" t="s">
        <v>2422</v>
      </c>
      <c r="I1844" s="2">
        <v>218</v>
      </c>
      <c r="J1844" s="2">
        <v>106.9</v>
      </c>
      <c r="K1844" s="2">
        <v>111.1</v>
      </c>
      <c r="L1844" s="2">
        <v>50.96</v>
      </c>
      <c r="M1844" s="2">
        <v>218</v>
      </c>
      <c r="N1844" s="2">
        <v>106.9</v>
      </c>
      <c r="O1844" s="2">
        <v>89.6</v>
      </c>
      <c r="P1844" s="2">
        <v>50.96</v>
      </c>
    </row>
    <row r="1845" spans="1:16" x14ac:dyDescent="0.25">
      <c r="A1845" t="s">
        <v>15</v>
      </c>
      <c r="B1845" t="s">
        <v>2188</v>
      </c>
      <c r="C1845" t="s">
        <v>252</v>
      </c>
      <c r="D1845" t="s">
        <v>2283</v>
      </c>
      <c r="E1845" t="s">
        <v>47</v>
      </c>
      <c r="F1845" t="s">
        <v>2284</v>
      </c>
      <c r="G1845" s="1">
        <f>45975</f>
        <v>45975</v>
      </c>
      <c r="H1845" t="s">
        <v>2422</v>
      </c>
      <c r="I1845" s="2">
        <v>761</v>
      </c>
      <c r="J1845" s="2">
        <v>479.9</v>
      </c>
      <c r="K1845" s="2">
        <v>281.10000000000002</v>
      </c>
      <c r="L1845" s="2">
        <v>36.94</v>
      </c>
      <c r="M1845" s="2">
        <v>761</v>
      </c>
      <c r="N1845" s="2">
        <v>479.9</v>
      </c>
      <c r="O1845" s="2">
        <v>244.1</v>
      </c>
      <c r="P1845" s="2">
        <v>36.94</v>
      </c>
    </row>
    <row r="1846" spans="1:16" x14ac:dyDescent="0.25">
      <c r="A1846" t="s">
        <v>15</v>
      </c>
      <c r="B1846" t="s">
        <v>2188</v>
      </c>
      <c r="C1846" t="s">
        <v>252</v>
      </c>
      <c r="D1846" t="s">
        <v>2285</v>
      </c>
      <c r="E1846" t="s">
        <v>47</v>
      </c>
      <c r="F1846" t="s">
        <v>1064</v>
      </c>
      <c r="G1846" s="1">
        <f>45975</f>
        <v>45975</v>
      </c>
      <c r="H1846" t="s">
        <v>2422</v>
      </c>
      <c r="I1846" s="2">
        <v>9316.7999999999993</v>
      </c>
      <c r="J1846" s="2">
        <v>7027.48</v>
      </c>
      <c r="K1846" s="2">
        <v>2289.3200000000002</v>
      </c>
      <c r="L1846" s="2">
        <v>24.57</v>
      </c>
      <c r="M1846" s="2">
        <v>9316.7999999999993</v>
      </c>
      <c r="N1846" s="2">
        <v>7027.48</v>
      </c>
      <c r="O1846" s="2">
        <v>2120.3200000000002</v>
      </c>
      <c r="P1846" s="2">
        <v>24.57</v>
      </c>
    </row>
    <row r="1847" spans="1:16" x14ac:dyDescent="0.25">
      <c r="A1847" t="s">
        <v>15</v>
      </c>
      <c r="B1847" t="s">
        <v>2188</v>
      </c>
      <c r="C1847" t="s">
        <v>252</v>
      </c>
      <c r="D1847" t="s">
        <v>2286</v>
      </c>
      <c r="E1847" t="s">
        <v>47</v>
      </c>
      <c r="F1847" t="s">
        <v>265</v>
      </c>
      <c r="G1847" s="1">
        <f>45978</f>
        <v>45978</v>
      </c>
      <c r="H1847" t="s">
        <v>2422</v>
      </c>
      <c r="I1847" s="2">
        <v>1280.9000000000001</v>
      </c>
      <c r="J1847" s="2">
        <v>870</v>
      </c>
      <c r="K1847" s="2">
        <v>410.9</v>
      </c>
      <c r="L1847" s="2">
        <v>32.08</v>
      </c>
      <c r="M1847" s="2">
        <v>1280.9000000000001</v>
      </c>
      <c r="N1847" s="2">
        <v>870</v>
      </c>
      <c r="O1847" s="2">
        <v>370.9</v>
      </c>
      <c r="P1847" s="2">
        <v>32.08</v>
      </c>
    </row>
    <row r="1848" spans="1:16" x14ac:dyDescent="0.25">
      <c r="A1848" t="s">
        <v>15</v>
      </c>
      <c r="B1848" t="s">
        <v>2188</v>
      </c>
      <c r="C1848" t="s">
        <v>252</v>
      </c>
      <c r="D1848" t="s">
        <v>2287</v>
      </c>
      <c r="E1848" t="s">
        <v>47</v>
      </c>
      <c r="F1848" t="s">
        <v>265</v>
      </c>
      <c r="G1848" s="1">
        <f>45978</f>
        <v>45978</v>
      </c>
      <c r="H1848" t="s">
        <v>2422</v>
      </c>
      <c r="I1848" s="2">
        <v>1503.9</v>
      </c>
      <c r="J1848" s="2">
        <v>956.3</v>
      </c>
      <c r="K1848" s="2">
        <v>547.6</v>
      </c>
      <c r="L1848" s="2">
        <v>36.409999999999997</v>
      </c>
      <c r="M1848" s="2">
        <v>1503.9</v>
      </c>
      <c r="N1848" s="2">
        <v>956.3</v>
      </c>
      <c r="O1848" s="2">
        <v>487.6</v>
      </c>
      <c r="P1848" s="2">
        <v>36.409999999999997</v>
      </c>
    </row>
    <row r="1849" spans="1:16" x14ac:dyDescent="0.25">
      <c r="A1849" t="s">
        <v>15</v>
      </c>
      <c r="B1849" t="s">
        <v>2188</v>
      </c>
      <c r="C1849" t="s">
        <v>252</v>
      </c>
      <c r="D1849" t="s">
        <v>2288</v>
      </c>
      <c r="E1849" t="s">
        <v>47</v>
      </c>
      <c r="F1849" t="s">
        <v>1236</v>
      </c>
      <c r="G1849" s="1">
        <f>45979</f>
        <v>45979</v>
      </c>
      <c r="H1849" t="s">
        <v>2422</v>
      </c>
      <c r="I1849" s="2">
        <v>4160.2</v>
      </c>
      <c r="J1849" s="2">
        <v>3294.6</v>
      </c>
      <c r="K1849" s="2">
        <v>865.6</v>
      </c>
      <c r="L1849" s="2">
        <v>20.81</v>
      </c>
      <c r="M1849" s="2">
        <v>0</v>
      </c>
      <c r="N1849" s="2">
        <v>3029.6</v>
      </c>
      <c r="O1849" s="2">
        <v>0</v>
      </c>
      <c r="P1849" s="2">
        <v>0</v>
      </c>
    </row>
    <row r="1850" spans="1:16" x14ac:dyDescent="0.25">
      <c r="A1850" t="s">
        <v>15</v>
      </c>
      <c r="B1850" t="s">
        <v>2188</v>
      </c>
      <c r="C1850" t="s">
        <v>252</v>
      </c>
      <c r="D1850" t="s">
        <v>2289</v>
      </c>
      <c r="E1850" t="s">
        <v>47</v>
      </c>
      <c r="F1850" t="s">
        <v>2290</v>
      </c>
      <c r="G1850" s="1">
        <f>45979</f>
        <v>45979</v>
      </c>
      <c r="H1850" t="s">
        <v>2422</v>
      </c>
      <c r="I1850" s="2">
        <v>12924</v>
      </c>
      <c r="J1850" s="2">
        <v>8739</v>
      </c>
      <c r="K1850" s="2">
        <v>4185</v>
      </c>
      <c r="L1850" s="2">
        <v>32.380000000000003</v>
      </c>
      <c r="M1850" s="2">
        <v>0</v>
      </c>
      <c r="N1850" s="2">
        <v>0</v>
      </c>
      <c r="O1850" s="2">
        <v>0</v>
      </c>
      <c r="P1850" s="2">
        <v>0</v>
      </c>
    </row>
    <row r="1851" spans="1:16" x14ac:dyDescent="0.25">
      <c r="A1851" t="s">
        <v>15</v>
      </c>
      <c r="B1851" t="s">
        <v>2188</v>
      </c>
      <c r="C1851" t="s">
        <v>252</v>
      </c>
      <c r="D1851" t="s">
        <v>2291</v>
      </c>
      <c r="E1851" t="s">
        <v>47</v>
      </c>
      <c r="F1851" t="s">
        <v>279</v>
      </c>
      <c r="G1851" s="1">
        <f>45980</f>
        <v>45980</v>
      </c>
      <c r="H1851" t="s">
        <v>2422</v>
      </c>
      <c r="I1851" s="2">
        <v>693.7</v>
      </c>
      <c r="J1851" s="2">
        <v>377.68</v>
      </c>
      <c r="K1851" s="2">
        <v>316.02</v>
      </c>
      <c r="L1851" s="2">
        <v>45.56</v>
      </c>
      <c r="M1851" s="2">
        <v>693.7</v>
      </c>
      <c r="N1851" s="2">
        <v>377.68</v>
      </c>
      <c r="O1851" s="2">
        <v>306.02</v>
      </c>
      <c r="P1851" s="2">
        <v>45.56</v>
      </c>
    </row>
    <row r="1852" spans="1:16" x14ac:dyDescent="0.25">
      <c r="A1852" t="s">
        <v>15</v>
      </c>
      <c r="B1852" t="s">
        <v>2188</v>
      </c>
      <c r="C1852" t="s">
        <v>252</v>
      </c>
      <c r="D1852" t="s">
        <v>2292</v>
      </c>
      <c r="E1852" t="s">
        <v>47</v>
      </c>
      <c r="F1852" t="s">
        <v>2293</v>
      </c>
      <c r="G1852" s="1">
        <f>45981</f>
        <v>45981</v>
      </c>
      <c r="H1852" t="s">
        <v>2422</v>
      </c>
      <c r="I1852" s="2">
        <v>2499.5</v>
      </c>
      <c r="J1852" s="2">
        <v>1840.99</v>
      </c>
      <c r="K1852" s="2">
        <v>658.51</v>
      </c>
      <c r="L1852" s="2">
        <v>26.35</v>
      </c>
      <c r="M1852" s="2">
        <v>2499.5</v>
      </c>
      <c r="N1852" s="2">
        <v>1840.99</v>
      </c>
      <c r="O1852" s="2">
        <v>615.12</v>
      </c>
      <c r="P1852" s="2">
        <v>26.35</v>
      </c>
    </row>
    <row r="1853" spans="1:16" x14ac:dyDescent="0.25">
      <c r="A1853" t="s">
        <v>15</v>
      </c>
      <c r="B1853" t="s">
        <v>2188</v>
      </c>
      <c r="C1853" t="s">
        <v>252</v>
      </c>
      <c r="D1853" t="s">
        <v>2294</v>
      </c>
      <c r="E1853" t="s">
        <v>47</v>
      </c>
      <c r="F1853" t="s">
        <v>276</v>
      </c>
      <c r="G1853" s="1">
        <f>45982</f>
        <v>45982</v>
      </c>
      <c r="H1853" t="s">
        <v>2422</v>
      </c>
      <c r="I1853" s="2">
        <v>1102.5999999999999</v>
      </c>
      <c r="J1853" s="2">
        <v>653</v>
      </c>
      <c r="K1853" s="2">
        <v>449.6</v>
      </c>
      <c r="L1853" s="2">
        <v>40.78</v>
      </c>
      <c r="M1853" s="2">
        <v>1102.5999999999999</v>
      </c>
      <c r="N1853" s="2">
        <v>653</v>
      </c>
      <c r="O1853" s="2">
        <v>390.6</v>
      </c>
      <c r="P1853" s="2">
        <v>40.78</v>
      </c>
    </row>
    <row r="1854" spans="1:16" x14ac:dyDescent="0.25">
      <c r="A1854" t="s">
        <v>15</v>
      </c>
      <c r="B1854" t="s">
        <v>2188</v>
      </c>
      <c r="C1854" t="s">
        <v>252</v>
      </c>
      <c r="D1854" t="s">
        <v>2295</v>
      </c>
      <c r="E1854" t="s">
        <v>47</v>
      </c>
      <c r="F1854" t="s">
        <v>272</v>
      </c>
      <c r="G1854" s="1">
        <f>45985</f>
        <v>45985</v>
      </c>
      <c r="H1854" t="s">
        <v>2422</v>
      </c>
      <c r="I1854" s="2">
        <v>224.46</v>
      </c>
      <c r="J1854" s="2">
        <v>160.01</v>
      </c>
      <c r="K1854" s="2">
        <v>64.45</v>
      </c>
      <c r="L1854" s="2">
        <v>28.71</v>
      </c>
      <c r="M1854" s="2">
        <v>0</v>
      </c>
      <c r="N1854" s="2">
        <v>160.01</v>
      </c>
      <c r="O1854" s="2">
        <v>0</v>
      </c>
      <c r="P1854" s="2">
        <v>0</v>
      </c>
    </row>
    <row r="1855" spans="1:16" x14ac:dyDescent="0.25">
      <c r="A1855" t="s">
        <v>15</v>
      </c>
      <c r="B1855" t="s">
        <v>2188</v>
      </c>
      <c r="C1855" t="s">
        <v>252</v>
      </c>
      <c r="D1855" t="s">
        <v>2296</v>
      </c>
      <c r="E1855" t="s">
        <v>47</v>
      </c>
      <c r="F1855" t="s">
        <v>2297</v>
      </c>
      <c r="G1855" s="1">
        <f>45985</f>
        <v>45985</v>
      </c>
      <c r="H1855" t="s">
        <v>2422</v>
      </c>
      <c r="I1855" s="2">
        <v>4178.3</v>
      </c>
      <c r="J1855" s="2">
        <v>3081.37</v>
      </c>
      <c r="K1855" s="2">
        <v>1096.93</v>
      </c>
      <c r="L1855" s="2">
        <v>26.25</v>
      </c>
      <c r="M1855" s="2">
        <v>4178.3</v>
      </c>
      <c r="N1855" s="2">
        <v>3081.37</v>
      </c>
      <c r="O1855" s="2">
        <v>1039.08</v>
      </c>
      <c r="P1855" s="2">
        <v>26.25</v>
      </c>
    </row>
    <row r="1856" spans="1:16" x14ac:dyDescent="0.25">
      <c r="A1856" t="s">
        <v>15</v>
      </c>
      <c r="B1856" t="s">
        <v>2188</v>
      </c>
      <c r="C1856" t="s">
        <v>252</v>
      </c>
      <c r="D1856" t="s">
        <v>2298</v>
      </c>
      <c r="E1856" t="s">
        <v>47</v>
      </c>
      <c r="F1856" t="s">
        <v>856</v>
      </c>
      <c r="G1856" s="1">
        <f>45986</f>
        <v>45986</v>
      </c>
      <c r="H1856" t="s">
        <v>2422</v>
      </c>
      <c r="I1856" s="2">
        <v>4079</v>
      </c>
      <c r="J1856" s="2">
        <v>2655</v>
      </c>
      <c r="K1856" s="2">
        <v>1424</v>
      </c>
      <c r="L1856" s="2">
        <v>34.909999999999997</v>
      </c>
      <c r="M1856" s="2">
        <v>0</v>
      </c>
      <c r="N1856" s="2">
        <v>2643</v>
      </c>
      <c r="O1856" s="2">
        <v>0</v>
      </c>
      <c r="P1856" s="2">
        <v>0</v>
      </c>
    </row>
    <row r="1857" spans="1:16" x14ac:dyDescent="0.25">
      <c r="A1857" t="s">
        <v>15</v>
      </c>
      <c r="B1857" t="s">
        <v>2188</v>
      </c>
      <c r="C1857" t="s">
        <v>252</v>
      </c>
      <c r="D1857" t="s">
        <v>2299</v>
      </c>
      <c r="E1857" t="s">
        <v>47</v>
      </c>
      <c r="F1857" t="s">
        <v>2276</v>
      </c>
      <c r="G1857" s="1">
        <f>45986</f>
        <v>45986</v>
      </c>
      <c r="H1857" t="s">
        <v>2422</v>
      </c>
      <c r="I1857" s="2">
        <v>8634.2999999999993</v>
      </c>
      <c r="J1857" s="2">
        <v>5981.32</v>
      </c>
      <c r="K1857" s="2">
        <v>2652.98</v>
      </c>
      <c r="L1857" s="2">
        <v>30.73</v>
      </c>
      <c r="M1857" s="2">
        <v>0</v>
      </c>
      <c r="N1857" s="2">
        <v>0</v>
      </c>
      <c r="O1857" s="2">
        <v>0</v>
      </c>
      <c r="P1857" s="2">
        <v>0</v>
      </c>
    </row>
    <row r="1858" spans="1:16" x14ac:dyDescent="0.25">
      <c r="A1858" t="s">
        <v>15</v>
      </c>
      <c r="B1858" t="s">
        <v>2188</v>
      </c>
      <c r="C1858" t="s">
        <v>252</v>
      </c>
      <c r="D1858" t="s">
        <v>2300</v>
      </c>
      <c r="E1858" t="s">
        <v>47</v>
      </c>
      <c r="F1858" t="s">
        <v>269</v>
      </c>
      <c r="G1858" s="1">
        <f>45986</f>
        <v>45986</v>
      </c>
      <c r="H1858" t="s">
        <v>2422</v>
      </c>
      <c r="I1858" s="2">
        <v>2620</v>
      </c>
      <c r="J1858" s="2">
        <v>1818.95</v>
      </c>
      <c r="K1858" s="2">
        <v>801.05</v>
      </c>
      <c r="L1858" s="2">
        <v>30.57</v>
      </c>
      <c r="M1858" s="2">
        <v>2620</v>
      </c>
      <c r="N1858" s="2">
        <v>1818.95</v>
      </c>
      <c r="O1858" s="2">
        <v>762.05</v>
      </c>
      <c r="P1858" s="2">
        <v>30.57</v>
      </c>
    </row>
    <row r="1859" spans="1:16" x14ac:dyDescent="0.25">
      <c r="A1859" t="s">
        <v>15</v>
      </c>
      <c r="B1859" t="s">
        <v>2188</v>
      </c>
      <c r="C1859" t="s">
        <v>252</v>
      </c>
      <c r="D1859" t="s">
        <v>2301</v>
      </c>
      <c r="E1859" t="s">
        <v>47</v>
      </c>
      <c r="F1859" t="s">
        <v>565</v>
      </c>
      <c r="G1859" s="1">
        <f>45987</f>
        <v>45987</v>
      </c>
      <c r="H1859" t="s">
        <v>2422</v>
      </c>
      <c r="I1859" s="2">
        <v>190.1</v>
      </c>
      <c r="J1859" s="2">
        <v>126.65</v>
      </c>
      <c r="K1859" s="2">
        <v>63.45</v>
      </c>
      <c r="L1859" s="2">
        <v>33.380000000000003</v>
      </c>
      <c r="M1859" s="2">
        <v>190.1</v>
      </c>
      <c r="N1859" s="2">
        <v>126.65</v>
      </c>
      <c r="O1859" s="2">
        <v>54.45</v>
      </c>
      <c r="P1859" s="2">
        <v>33.380000000000003</v>
      </c>
    </row>
    <row r="1860" spans="1:16" x14ac:dyDescent="0.25">
      <c r="A1860" t="s">
        <v>15</v>
      </c>
      <c r="B1860" t="s">
        <v>2188</v>
      </c>
      <c r="C1860" t="s">
        <v>17</v>
      </c>
      <c r="D1860" t="s">
        <v>2302</v>
      </c>
      <c r="E1860" t="s">
        <v>47</v>
      </c>
      <c r="F1860" t="s">
        <v>348</v>
      </c>
      <c r="G1860" s="1">
        <f>45975</f>
        <v>45975</v>
      </c>
      <c r="H1860" t="s">
        <v>2422</v>
      </c>
      <c r="I1860" s="2">
        <v>546.9</v>
      </c>
      <c r="J1860" s="2">
        <v>333.51</v>
      </c>
      <c r="K1860" s="2">
        <v>213.39</v>
      </c>
      <c r="L1860" s="2">
        <v>39.020000000000003</v>
      </c>
      <c r="M1860" s="2">
        <v>0</v>
      </c>
      <c r="N1860" s="2">
        <v>0</v>
      </c>
      <c r="O1860" s="2">
        <v>0</v>
      </c>
      <c r="P1860" s="2">
        <v>0</v>
      </c>
    </row>
    <row r="1861" spans="1:16" x14ac:dyDescent="0.25">
      <c r="A1861" t="s">
        <v>15</v>
      </c>
      <c r="B1861" t="s">
        <v>2188</v>
      </c>
      <c r="C1861" t="s">
        <v>17</v>
      </c>
      <c r="D1861" t="s">
        <v>2303</v>
      </c>
      <c r="E1861" t="s">
        <v>47</v>
      </c>
      <c r="F1861" t="s">
        <v>35</v>
      </c>
      <c r="G1861" s="1">
        <f>45964</f>
        <v>45964</v>
      </c>
      <c r="H1861" t="s">
        <v>2422</v>
      </c>
      <c r="I1861" s="2">
        <v>1197.5999999999999</v>
      </c>
      <c r="J1861" s="2">
        <v>812.5</v>
      </c>
      <c r="K1861" s="2">
        <v>385.1</v>
      </c>
      <c r="L1861" s="2">
        <v>32.159999999999997</v>
      </c>
      <c r="M1861" s="2">
        <v>1197.5999999999999</v>
      </c>
      <c r="N1861" s="2">
        <v>812.5</v>
      </c>
      <c r="O1861" s="2">
        <v>299.10000000000002</v>
      </c>
      <c r="P1861" s="2">
        <v>32.159999999999997</v>
      </c>
    </row>
    <row r="1862" spans="1:16" x14ac:dyDescent="0.25">
      <c r="A1862" t="s">
        <v>15</v>
      </c>
      <c r="B1862" t="s">
        <v>2188</v>
      </c>
      <c r="C1862" t="s">
        <v>17</v>
      </c>
      <c r="D1862" t="s">
        <v>2304</v>
      </c>
      <c r="E1862" t="s">
        <v>47</v>
      </c>
      <c r="F1862" t="s">
        <v>2305</v>
      </c>
      <c r="G1862" s="1">
        <f>45964</f>
        <v>45964</v>
      </c>
      <c r="H1862" t="s">
        <v>2422</v>
      </c>
      <c r="I1862" s="2">
        <v>6453</v>
      </c>
      <c r="J1862" s="2">
        <v>4467.34</v>
      </c>
      <c r="K1862" s="2">
        <v>1985.66</v>
      </c>
      <c r="L1862" s="2">
        <v>30.77</v>
      </c>
      <c r="M1862" s="2">
        <v>6453</v>
      </c>
      <c r="N1862" s="2">
        <v>4467.34</v>
      </c>
      <c r="O1862" s="2">
        <v>1909.42</v>
      </c>
      <c r="P1862" s="2">
        <v>30.77</v>
      </c>
    </row>
    <row r="1863" spans="1:16" x14ac:dyDescent="0.25">
      <c r="A1863" t="s">
        <v>15</v>
      </c>
      <c r="B1863" t="s">
        <v>2188</v>
      </c>
      <c r="C1863" t="s">
        <v>17</v>
      </c>
      <c r="D1863" t="s">
        <v>2306</v>
      </c>
      <c r="E1863" t="s">
        <v>47</v>
      </c>
      <c r="F1863" t="s">
        <v>35</v>
      </c>
      <c r="G1863" s="1">
        <f>45964</f>
        <v>45964</v>
      </c>
      <c r="H1863" t="s">
        <v>2422</v>
      </c>
      <c r="I1863" s="2">
        <v>388</v>
      </c>
      <c r="J1863" s="2">
        <v>146</v>
      </c>
      <c r="K1863" s="2">
        <v>242</v>
      </c>
      <c r="L1863" s="2">
        <v>62.37</v>
      </c>
      <c r="M1863" s="2">
        <v>388</v>
      </c>
      <c r="N1863" s="2">
        <v>146</v>
      </c>
      <c r="O1863" s="2">
        <v>222</v>
      </c>
      <c r="P1863" s="2">
        <v>62.37</v>
      </c>
    </row>
    <row r="1864" spans="1:16" x14ac:dyDescent="0.25">
      <c r="A1864" t="s">
        <v>15</v>
      </c>
      <c r="B1864" t="s">
        <v>2188</v>
      </c>
      <c r="C1864" t="s">
        <v>17</v>
      </c>
      <c r="D1864" t="s">
        <v>2307</v>
      </c>
      <c r="E1864" t="s">
        <v>47</v>
      </c>
      <c r="F1864" t="s">
        <v>348</v>
      </c>
      <c r="G1864" s="1">
        <f>45965</f>
        <v>45965</v>
      </c>
      <c r="H1864" t="s">
        <v>2422</v>
      </c>
      <c r="I1864" s="2">
        <v>1349</v>
      </c>
      <c r="J1864" s="2">
        <v>900.48</v>
      </c>
      <c r="K1864" s="2">
        <v>448.52</v>
      </c>
      <c r="L1864" s="2">
        <v>33.25</v>
      </c>
      <c r="M1864" s="2">
        <v>1349</v>
      </c>
      <c r="N1864" s="2">
        <v>900.48</v>
      </c>
      <c r="O1864" s="2">
        <v>405.52</v>
      </c>
      <c r="P1864" s="2">
        <v>33.25</v>
      </c>
    </row>
    <row r="1865" spans="1:16" x14ac:dyDescent="0.25">
      <c r="A1865" t="s">
        <v>15</v>
      </c>
      <c r="B1865" t="s">
        <v>2188</v>
      </c>
      <c r="C1865" t="s">
        <v>17</v>
      </c>
      <c r="D1865" t="s">
        <v>2308</v>
      </c>
      <c r="E1865" t="s">
        <v>47</v>
      </c>
      <c r="F1865" t="s">
        <v>318</v>
      </c>
      <c r="G1865" s="1">
        <f>45966</f>
        <v>45966</v>
      </c>
      <c r="H1865" t="s">
        <v>2422</v>
      </c>
      <c r="I1865" s="2">
        <v>645</v>
      </c>
      <c r="J1865" s="2">
        <v>410.92</v>
      </c>
      <c r="K1865" s="2">
        <v>234.08</v>
      </c>
      <c r="L1865" s="2">
        <v>36.29</v>
      </c>
      <c r="M1865" s="2">
        <v>645</v>
      </c>
      <c r="N1865" s="2">
        <v>410.92</v>
      </c>
      <c r="O1865" s="2">
        <v>224.08</v>
      </c>
      <c r="P1865" s="2">
        <v>36.29</v>
      </c>
    </row>
    <row r="1866" spans="1:16" x14ac:dyDescent="0.25">
      <c r="A1866" t="s">
        <v>15</v>
      </c>
      <c r="B1866" t="s">
        <v>2188</v>
      </c>
      <c r="C1866" t="s">
        <v>17</v>
      </c>
      <c r="D1866" t="s">
        <v>2309</v>
      </c>
      <c r="E1866" t="s">
        <v>47</v>
      </c>
      <c r="F1866" t="s">
        <v>348</v>
      </c>
      <c r="G1866" s="1">
        <f>45967</f>
        <v>45967</v>
      </c>
      <c r="H1866" t="s">
        <v>2422</v>
      </c>
      <c r="I1866" s="2">
        <v>318.3</v>
      </c>
      <c r="J1866" s="2">
        <v>231.45</v>
      </c>
      <c r="K1866" s="2">
        <v>86.85</v>
      </c>
      <c r="L1866" s="2">
        <v>27.29</v>
      </c>
      <c r="M1866" s="2">
        <v>318.3</v>
      </c>
      <c r="N1866" s="2">
        <v>231.45</v>
      </c>
      <c r="O1866" s="2">
        <v>54.85</v>
      </c>
      <c r="P1866" s="2">
        <v>27.29</v>
      </c>
    </row>
    <row r="1867" spans="1:16" x14ac:dyDescent="0.25">
      <c r="A1867" t="s">
        <v>15</v>
      </c>
      <c r="B1867" t="s">
        <v>2188</v>
      </c>
      <c r="C1867" t="s">
        <v>17</v>
      </c>
      <c r="D1867" t="s">
        <v>2310</v>
      </c>
      <c r="E1867" t="s">
        <v>47</v>
      </c>
      <c r="F1867" t="s">
        <v>2010</v>
      </c>
      <c r="G1867" s="1">
        <f>45967</f>
        <v>45967</v>
      </c>
      <c r="H1867" t="s">
        <v>2422</v>
      </c>
      <c r="I1867" s="2">
        <v>2809.76</v>
      </c>
      <c r="J1867" s="2">
        <v>1903.6</v>
      </c>
      <c r="K1867" s="2">
        <v>906.16</v>
      </c>
      <c r="L1867" s="2">
        <v>32.25</v>
      </c>
      <c r="M1867" s="2">
        <v>2809.76</v>
      </c>
      <c r="N1867" s="2">
        <v>1903.6</v>
      </c>
      <c r="O1867" s="2">
        <v>860.16</v>
      </c>
      <c r="P1867" s="2">
        <v>32.25</v>
      </c>
    </row>
    <row r="1868" spans="1:16" x14ac:dyDescent="0.25">
      <c r="A1868" t="s">
        <v>15</v>
      </c>
      <c r="B1868" t="s">
        <v>2188</v>
      </c>
      <c r="C1868" t="s">
        <v>17</v>
      </c>
      <c r="D1868" t="s">
        <v>2311</v>
      </c>
      <c r="E1868" t="s">
        <v>47</v>
      </c>
      <c r="F1868" t="s">
        <v>37</v>
      </c>
      <c r="G1868" s="1">
        <f>45974</f>
        <v>45974</v>
      </c>
      <c r="H1868" t="s">
        <v>2422</v>
      </c>
      <c r="I1868" s="2">
        <v>167.76</v>
      </c>
      <c r="J1868" s="2">
        <v>76.459999999999994</v>
      </c>
      <c r="K1868" s="2">
        <v>91.3</v>
      </c>
      <c r="L1868" s="2">
        <v>54.42</v>
      </c>
      <c r="M1868" s="2">
        <v>167.76</v>
      </c>
      <c r="N1868" s="2">
        <v>76.45</v>
      </c>
      <c r="O1868" s="2">
        <v>62.31</v>
      </c>
      <c r="P1868" s="2">
        <v>54.43</v>
      </c>
    </row>
    <row r="1869" spans="1:16" x14ac:dyDescent="0.25">
      <c r="A1869" t="s">
        <v>15</v>
      </c>
      <c r="B1869" t="s">
        <v>2188</v>
      </c>
      <c r="C1869" t="s">
        <v>17</v>
      </c>
      <c r="D1869" t="s">
        <v>2312</v>
      </c>
      <c r="E1869" t="s">
        <v>47</v>
      </c>
      <c r="F1869" t="s">
        <v>26</v>
      </c>
      <c r="G1869" s="1">
        <f>45974</f>
        <v>45974</v>
      </c>
      <c r="H1869" t="s">
        <v>2422</v>
      </c>
      <c r="I1869" s="2">
        <v>508</v>
      </c>
      <c r="J1869" s="2">
        <v>298.27</v>
      </c>
      <c r="K1869" s="2">
        <v>209.73</v>
      </c>
      <c r="L1869" s="2">
        <v>41.29</v>
      </c>
      <c r="M1869" s="2">
        <v>508</v>
      </c>
      <c r="N1869" s="2">
        <v>298.27</v>
      </c>
      <c r="O1869" s="2">
        <v>189.46</v>
      </c>
      <c r="P1869" s="2">
        <v>41.29</v>
      </c>
    </row>
    <row r="1870" spans="1:16" x14ac:dyDescent="0.25">
      <c r="A1870" t="s">
        <v>15</v>
      </c>
      <c r="B1870" t="s">
        <v>2188</v>
      </c>
      <c r="C1870" t="s">
        <v>17</v>
      </c>
      <c r="D1870" t="s">
        <v>2313</v>
      </c>
      <c r="E1870" t="s">
        <v>47</v>
      </c>
      <c r="F1870" t="s">
        <v>359</v>
      </c>
      <c r="G1870" s="1">
        <f>45975</f>
        <v>45975</v>
      </c>
      <c r="H1870" t="s">
        <v>2422</v>
      </c>
      <c r="I1870" s="2">
        <v>278.5</v>
      </c>
      <c r="J1870" s="2">
        <v>196.44</v>
      </c>
      <c r="K1870" s="2">
        <v>82.06</v>
      </c>
      <c r="L1870" s="2">
        <v>29.46</v>
      </c>
      <c r="M1870" s="2">
        <v>0</v>
      </c>
      <c r="N1870" s="2">
        <v>167.44</v>
      </c>
      <c r="O1870" s="2">
        <v>0</v>
      </c>
      <c r="P1870" s="2">
        <v>0</v>
      </c>
    </row>
    <row r="1871" spans="1:16" x14ac:dyDescent="0.25">
      <c r="A1871" t="s">
        <v>15</v>
      </c>
      <c r="B1871" t="s">
        <v>2188</v>
      </c>
      <c r="C1871" t="s">
        <v>17</v>
      </c>
      <c r="D1871" t="s">
        <v>2314</v>
      </c>
      <c r="E1871" t="s">
        <v>47</v>
      </c>
      <c r="F1871" t="s">
        <v>1279</v>
      </c>
      <c r="G1871" s="1">
        <f>45975</f>
        <v>45975</v>
      </c>
      <c r="H1871" t="s">
        <v>2422</v>
      </c>
      <c r="I1871" s="2">
        <v>299.39999999999998</v>
      </c>
      <c r="J1871" s="2">
        <v>171.98</v>
      </c>
      <c r="K1871" s="2">
        <v>127.42</v>
      </c>
      <c r="L1871" s="2">
        <v>42.56</v>
      </c>
      <c r="M1871" s="2">
        <v>0</v>
      </c>
      <c r="N1871" s="2">
        <v>134.97999999999999</v>
      </c>
      <c r="O1871" s="2">
        <v>0</v>
      </c>
      <c r="P1871" s="2">
        <v>0</v>
      </c>
    </row>
    <row r="1872" spans="1:16" x14ac:dyDescent="0.25">
      <c r="A1872" t="s">
        <v>15</v>
      </c>
      <c r="B1872" t="s">
        <v>2188</v>
      </c>
      <c r="C1872" t="s">
        <v>17</v>
      </c>
      <c r="D1872" t="s">
        <v>2315</v>
      </c>
      <c r="E1872" t="s">
        <v>47</v>
      </c>
      <c r="F1872" t="s">
        <v>333</v>
      </c>
      <c r="G1872" s="1">
        <f>45978</f>
        <v>45978</v>
      </c>
      <c r="H1872" t="s">
        <v>2422</v>
      </c>
      <c r="I1872" s="2">
        <v>3090.75</v>
      </c>
      <c r="J1872" s="2">
        <v>2156</v>
      </c>
      <c r="K1872" s="2">
        <v>934.75</v>
      </c>
      <c r="L1872" s="2">
        <v>30.24</v>
      </c>
      <c r="M1872" s="2">
        <v>3090.75</v>
      </c>
      <c r="N1872" s="2">
        <v>2156</v>
      </c>
      <c r="O1872" s="2">
        <v>905.75</v>
      </c>
      <c r="P1872" s="2">
        <v>30.24</v>
      </c>
    </row>
    <row r="1873" spans="1:16" x14ac:dyDescent="0.25">
      <c r="A1873" t="s">
        <v>15</v>
      </c>
      <c r="B1873" t="s">
        <v>2188</v>
      </c>
      <c r="C1873" t="s">
        <v>17</v>
      </c>
      <c r="D1873" t="s">
        <v>2316</v>
      </c>
      <c r="E1873" t="s">
        <v>47</v>
      </c>
      <c r="F1873" t="s">
        <v>333</v>
      </c>
      <c r="G1873" s="1">
        <f>45978</f>
        <v>45978</v>
      </c>
      <c r="H1873" t="s">
        <v>2422</v>
      </c>
      <c r="I1873" s="2">
        <v>3042.15</v>
      </c>
      <c r="J1873" s="2">
        <v>2122</v>
      </c>
      <c r="K1873" s="2">
        <v>920.15</v>
      </c>
      <c r="L1873" s="2">
        <v>30.25</v>
      </c>
      <c r="M1873" s="2">
        <v>3042.15</v>
      </c>
      <c r="N1873" s="2">
        <v>2122</v>
      </c>
      <c r="O1873" s="2">
        <v>891.15</v>
      </c>
      <c r="P1873" s="2">
        <v>30.25</v>
      </c>
    </row>
    <row r="1874" spans="1:16" x14ac:dyDescent="0.25">
      <c r="A1874" t="s">
        <v>15</v>
      </c>
      <c r="B1874" t="s">
        <v>2188</v>
      </c>
      <c r="C1874" t="s">
        <v>17</v>
      </c>
      <c r="D1874" t="s">
        <v>2317</v>
      </c>
      <c r="E1874" t="s">
        <v>47</v>
      </c>
      <c r="F1874" t="s">
        <v>322</v>
      </c>
      <c r="G1874" s="1">
        <f>45978</f>
        <v>45978</v>
      </c>
      <c r="H1874" t="s">
        <v>2422</v>
      </c>
      <c r="I1874" s="2">
        <v>2842</v>
      </c>
      <c r="J1874" s="2">
        <v>1893.85</v>
      </c>
      <c r="K1874" s="2">
        <v>948.15</v>
      </c>
      <c r="L1874" s="2">
        <v>33.36</v>
      </c>
      <c r="M1874" s="2">
        <v>2842</v>
      </c>
      <c r="N1874" s="2">
        <v>1893.85</v>
      </c>
      <c r="O1874" s="2">
        <v>875.15</v>
      </c>
      <c r="P1874" s="2">
        <v>33.36</v>
      </c>
    </row>
    <row r="1875" spans="1:16" x14ac:dyDescent="0.25">
      <c r="A1875" t="s">
        <v>15</v>
      </c>
      <c r="B1875" t="s">
        <v>2188</v>
      </c>
      <c r="C1875" t="s">
        <v>17</v>
      </c>
      <c r="D1875" t="s">
        <v>2318</v>
      </c>
      <c r="E1875" t="s">
        <v>47</v>
      </c>
      <c r="F1875" t="s">
        <v>311</v>
      </c>
      <c r="G1875" s="1">
        <f>45979</f>
        <v>45979</v>
      </c>
      <c r="H1875" t="s">
        <v>2422</v>
      </c>
      <c r="I1875" s="2">
        <v>321.7</v>
      </c>
      <c r="J1875" s="2">
        <v>212.75</v>
      </c>
      <c r="K1875" s="2">
        <v>108.95</v>
      </c>
      <c r="L1875" s="2">
        <v>33.869999999999997</v>
      </c>
      <c r="M1875" s="2">
        <v>321.7</v>
      </c>
      <c r="N1875" s="2">
        <v>212.75</v>
      </c>
      <c r="O1875" s="2">
        <v>74.95</v>
      </c>
      <c r="P1875" s="2">
        <v>33.869999999999997</v>
      </c>
    </row>
    <row r="1876" spans="1:16" x14ac:dyDescent="0.25">
      <c r="A1876" t="s">
        <v>15</v>
      </c>
      <c r="B1876" t="s">
        <v>2188</v>
      </c>
      <c r="C1876" t="s">
        <v>17</v>
      </c>
      <c r="D1876" t="s">
        <v>2319</v>
      </c>
      <c r="E1876" t="s">
        <v>47</v>
      </c>
      <c r="F1876" t="s">
        <v>333</v>
      </c>
      <c r="G1876" s="1">
        <f>45979</f>
        <v>45979</v>
      </c>
      <c r="H1876" t="s">
        <v>2422</v>
      </c>
      <c r="I1876" s="2">
        <v>619</v>
      </c>
      <c r="J1876" s="2">
        <v>337</v>
      </c>
      <c r="K1876" s="2">
        <v>282</v>
      </c>
      <c r="L1876" s="2">
        <v>45.56</v>
      </c>
      <c r="M1876" s="2">
        <v>619</v>
      </c>
      <c r="N1876" s="2">
        <v>337</v>
      </c>
      <c r="O1876" s="2">
        <v>253</v>
      </c>
      <c r="P1876" s="2">
        <v>45.56</v>
      </c>
    </row>
    <row r="1877" spans="1:16" x14ac:dyDescent="0.25">
      <c r="A1877" t="s">
        <v>15</v>
      </c>
      <c r="B1877" t="s">
        <v>2188</v>
      </c>
      <c r="C1877" t="s">
        <v>17</v>
      </c>
      <c r="D1877" t="s">
        <v>2320</v>
      </c>
      <c r="E1877" t="s">
        <v>47</v>
      </c>
      <c r="F1877" t="s">
        <v>2321</v>
      </c>
      <c r="G1877" s="1">
        <f>45980</f>
        <v>45980</v>
      </c>
      <c r="H1877" t="s">
        <v>2422</v>
      </c>
      <c r="I1877" s="2">
        <v>1465</v>
      </c>
      <c r="J1877" s="2">
        <v>1170.5999999999999</v>
      </c>
      <c r="K1877" s="2">
        <v>294.39999999999998</v>
      </c>
      <c r="L1877" s="2">
        <v>20.100000000000001</v>
      </c>
      <c r="M1877" s="2">
        <v>1465</v>
      </c>
      <c r="N1877" s="2">
        <v>1170.5999999999999</v>
      </c>
      <c r="O1877" s="2">
        <v>249.4</v>
      </c>
      <c r="P1877" s="2">
        <v>20.100000000000001</v>
      </c>
    </row>
    <row r="1878" spans="1:16" x14ac:dyDescent="0.25">
      <c r="A1878" t="s">
        <v>15</v>
      </c>
      <c r="B1878" t="s">
        <v>2188</v>
      </c>
      <c r="C1878" t="s">
        <v>17</v>
      </c>
      <c r="D1878" t="s">
        <v>2322</v>
      </c>
      <c r="E1878" t="s">
        <v>47</v>
      </c>
      <c r="F1878" t="s">
        <v>384</v>
      </c>
      <c r="G1878" s="1">
        <f>45981</f>
        <v>45981</v>
      </c>
      <c r="H1878" t="s">
        <v>2422</v>
      </c>
      <c r="I1878" s="2">
        <v>448.23</v>
      </c>
      <c r="J1878" s="2">
        <v>309.02</v>
      </c>
      <c r="K1878" s="2">
        <v>139.21</v>
      </c>
      <c r="L1878" s="2">
        <v>31.06</v>
      </c>
      <c r="M1878" s="2">
        <v>0</v>
      </c>
      <c r="N1878" s="2">
        <v>0</v>
      </c>
      <c r="O1878" s="2">
        <v>0</v>
      </c>
      <c r="P1878" s="2">
        <v>0</v>
      </c>
    </row>
    <row r="1879" spans="1:16" x14ac:dyDescent="0.25">
      <c r="A1879" t="s">
        <v>15</v>
      </c>
      <c r="B1879" t="s">
        <v>2188</v>
      </c>
      <c r="C1879" t="s">
        <v>17</v>
      </c>
      <c r="D1879" t="s">
        <v>2323</v>
      </c>
      <c r="E1879" t="s">
        <v>47</v>
      </c>
      <c r="F1879" t="s">
        <v>309</v>
      </c>
      <c r="G1879" s="1">
        <f>45981</f>
        <v>45981</v>
      </c>
      <c r="H1879" t="s">
        <v>2422</v>
      </c>
      <c r="I1879" s="2">
        <v>458.9</v>
      </c>
      <c r="J1879" s="2">
        <v>323.68</v>
      </c>
      <c r="K1879" s="2">
        <v>135.22</v>
      </c>
      <c r="L1879" s="2">
        <v>29.47</v>
      </c>
      <c r="M1879" s="2">
        <v>0</v>
      </c>
      <c r="N1879" s="2">
        <v>256.68</v>
      </c>
      <c r="O1879" s="2">
        <v>0</v>
      </c>
      <c r="P1879" s="2">
        <v>0</v>
      </c>
    </row>
    <row r="1880" spans="1:16" x14ac:dyDescent="0.25">
      <c r="A1880" t="s">
        <v>15</v>
      </c>
      <c r="B1880" t="s">
        <v>2188</v>
      </c>
      <c r="C1880" t="s">
        <v>17</v>
      </c>
      <c r="D1880" t="s">
        <v>2324</v>
      </c>
      <c r="E1880" t="s">
        <v>47</v>
      </c>
      <c r="F1880" t="s">
        <v>388</v>
      </c>
      <c r="G1880" s="1">
        <f>45981</f>
        <v>45981</v>
      </c>
      <c r="H1880" t="s">
        <v>2422</v>
      </c>
      <c r="I1880" s="2">
        <v>459.1</v>
      </c>
      <c r="J1880" s="2">
        <v>293</v>
      </c>
      <c r="K1880" s="2">
        <v>166.1</v>
      </c>
      <c r="L1880" s="2">
        <v>36.18</v>
      </c>
      <c r="M1880" s="2">
        <v>459.1</v>
      </c>
      <c r="N1880" s="2">
        <v>293</v>
      </c>
      <c r="O1880" s="2">
        <v>134.1</v>
      </c>
      <c r="P1880" s="2">
        <v>36.18</v>
      </c>
    </row>
    <row r="1881" spans="1:16" x14ac:dyDescent="0.25">
      <c r="A1881" t="s">
        <v>15</v>
      </c>
      <c r="B1881" t="s">
        <v>2188</v>
      </c>
      <c r="C1881" t="s">
        <v>17</v>
      </c>
      <c r="D1881" t="s">
        <v>2325</v>
      </c>
      <c r="E1881" t="s">
        <v>47</v>
      </c>
      <c r="F1881" t="s">
        <v>320</v>
      </c>
      <c r="G1881" s="1">
        <f>45981</f>
        <v>45981</v>
      </c>
      <c r="H1881" t="s">
        <v>2422</v>
      </c>
      <c r="I1881" s="2">
        <v>582.79999999999995</v>
      </c>
      <c r="J1881" s="2">
        <v>342.18</v>
      </c>
      <c r="K1881" s="2">
        <v>240.62</v>
      </c>
      <c r="L1881" s="2">
        <v>41.29</v>
      </c>
      <c r="M1881" s="2">
        <v>582.79999999999995</v>
      </c>
      <c r="N1881" s="2">
        <v>342.18</v>
      </c>
      <c r="O1881" s="2">
        <v>220.94</v>
      </c>
      <c r="P1881" s="2">
        <v>41.29</v>
      </c>
    </row>
    <row r="1882" spans="1:16" x14ac:dyDescent="0.25">
      <c r="A1882" t="s">
        <v>15</v>
      </c>
      <c r="B1882" t="s">
        <v>2188</v>
      </c>
      <c r="C1882" t="s">
        <v>17</v>
      </c>
      <c r="D1882" t="s">
        <v>2326</v>
      </c>
      <c r="E1882" t="s">
        <v>47</v>
      </c>
      <c r="F1882" t="s">
        <v>337</v>
      </c>
      <c r="G1882" s="1">
        <f>45981</f>
        <v>45981</v>
      </c>
      <c r="H1882" t="s">
        <v>2422</v>
      </c>
      <c r="I1882" s="2">
        <v>252.72</v>
      </c>
      <c r="J1882" s="2">
        <v>170.5</v>
      </c>
      <c r="K1882" s="2">
        <v>82.22</v>
      </c>
      <c r="L1882" s="2">
        <v>32.53</v>
      </c>
      <c r="M1882" s="2">
        <v>252.72</v>
      </c>
      <c r="N1882" s="2">
        <v>170.5</v>
      </c>
      <c r="O1882" s="2">
        <v>73.22</v>
      </c>
      <c r="P1882" s="2">
        <v>32.53</v>
      </c>
    </row>
    <row r="1883" spans="1:16" x14ac:dyDescent="0.25">
      <c r="A1883" t="s">
        <v>15</v>
      </c>
      <c r="B1883" t="s">
        <v>2188</v>
      </c>
      <c r="C1883" t="s">
        <v>17</v>
      </c>
      <c r="D1883" t="s">
        <v>2327</v>
      </c>
      <c r="E1883" t="s">
        <v>47</v>
      </c>
      <c r="F1883" t="s">
        <v>1270</v>
      </c>
      <c r="G1883" s="1">
        <f>45982</f>
        <v>45982</v>
      </c>
      <c r="H1883" t="s">
        <v>2422</v>
      </c>
      <c r="I1883" s="2">
        <v>345</v>
      </c>
      <c r="J1883" s="2">
        <v>228.6</v>
      </c>
      <c r="K1883" s="2">
        <v>116.4</v>
      </c>
      <c r="L1883" s="2">
        <v>33.74</v>
      </c>
      <c r="M1883" s="2">
        <v>345</v>
      </c>
      <c r="N1883" s="2">
        <v>228.6</v>
      </c>
      <c r="O1883" s="2">
        <v>82.4</v>
      </c>
      <c r="P1883" s="2">
        <v>33.74</v>
      </c>
    </row>
    <row r="1884" spans="1:16" x14ac:dyDescent="0.25">
      <c r="A1884" t="s">
        <v>15</v>
      </c>
      <c r="B1884" t="s">
        <v>2188</v>
      </c>
      <c r="C1884" t="s">
        <v>17</v>
      </c>
      <c r="D1884" t="s">
        <v>2328</v>
      </c>
      <c r="E1884" t="s">
        <v>47</v>
      </c>
      <c r="F1884" t="s">
        <v>322</v>
      </c>
      <c r="G1884" s="1">
        <f>45986</f>
        <v>45986</v>
      </c>
      <c r="H1884" t="s">
        <v>2422</v>
      </c>
      <c r="I1884" s="2">
        <v>236.3</v>
      </c>
      <c r="J1884" s="2">
        <v>137.57</v>
      </c>
      <c r="K1884" s="2">
        <v>98.73</v>
      </c>
      <c r="L1884" s="2">
        <v>41.78</v>
      </c>
      <c r="M1884" s="2">
        <v>236.3</v>
      </c>
      <c r="N1884" s="2">
        <v>137.57</v>
      </c>
      <c r="O1884" s="2">
        <v>74.73</v>
      </c>
      <c r="P1884" s="2">
        <v>41.78</v>
      </c>
    </row>
    <row r="1885" spans="1:16" x14ac:dyDescent="0.25">
      <c r="A1885" t="s">
        <v>15</v>
      </c>
      <c r="B1885" t="s">
        <v>2188</v>
      </c>
      <c r="C1885" t="s">
        <v>17</v>
      </c>
      <c r="D1885" t="s">
        <v>2329</v>
      </c>
      <c r="E1885" t="s">
        <v>47</v>
      </c>
      <c r="F1885" t="s">
        <v>33</v>
      </c>
      <c r="G1885" s="1">
        <f>45986</f>
        <v>45986</v>
      </c>
      <c r="H1885" t="s">
        <v>2422</v>
      </c>
      <c r="I1885" s="2">
        <v>2654.2</v>
      </c>
      <c r="J1885" s="2">
        <v>1860</v>
      </c>
      <c r="K1885" s="2">
        <v>794.2</v>
      </c>
      <c r="L1885" s="2">
        <v>29.92</v>
      </c>
      <c r="M1885" s="2">
        <v>2654.2</v>
      </c>
      <c r="N1885" s="2">
        <v>1860</v>
      </c>
      <c r="O1885" s="2">
        <v>740.2</v>
      </c>
      <c r="P1885" s="2">
        <v>29.92</v>
      </c>
    </row>
    <row r="1886" spans="1:16" x14ac:dyDescent="0.25">
      <c r="A1886" t="s">
        <v>15</v>
      </c>
      <c r="B1886" t="s">
        <v>2188</v>
      </c>
      <c r="C1886" t="s">
        <v>17</v>
      </c>
      <c r="D1886" t="s">
        <v>2330</v>
      </c>
      <c r="E1886" t="s">
        <v>47</v>
      </c>
      <c r="F1886" t="s">
        <v>324</v>
      </c>
      <c r="G1886" s="1">
        <f>45987</f>
        <v>45987</v>
      </c>
      <c r="H1886" t="s">
        <v>2422</v>
      </c>
      <c r="I1886" s="2">
        <v>520</v>
      </c>
      <c r="J1886" s="2">
        <v>343</v>
      </c>
      <c r="K1886" s="2">
        <v>177</v>
      </c>
      <c r="L1886" s="2">
        <v>34.04</v>
      </c>
      <c r="M1886" s="2">
        <v>520</v>
      </c>
      <c r="N1886" s="2">
        <v>343</v>
      </c>
      <c r="O1886" s="2">
        <v>168</v>
      </c>
      <c r="P1886" s="2">
        <v>34.04</v>
      </c>
    </row>
    <row r="1887" spans="1:16" x14ac:dyDescent="0.25">
      <c r="A1887" t="s">
        <v>15</v>
      </c>
      <c r="B1887" t="s">
        <v>2188</v>
      </c>
      <c r="C1887" t="s">
        <v>17</v>
      </c>
      <c r="D1887" t="s">
        <v>2331</v>
      </c>
      <c r="E1887" t="s">
        <v>47</v>
      </c>
      <c r="F1887" t="s">
        <v>342</v>
      </c>
      <c r="G1887" s="1">
        <f>45988</f>
        <v>45988</v>
      </c>
      <c r="H1887" t="s">
        <v>2422</v>
      </c>
      <c r="I1887" s="2">
        <v>3112</v>
      </c>
      <c r="J1887" s="2">
        <v>2165.56</v>
      </c>
      <c r="K1887" s="2">
        <v>946.44</v>
      </c>
      <c r="L1887" s="2">
        <v>30.41</v>
      </c>
      <c r="M1887" s="2">
        <v>0</v>
      </c>
      <c r="N1887" s="2">
        <v>2153.56</v>
      </c>
      <c r="O1887" s="2">
        <v>0</v>
      </c>
      <c r="P1887" s="2">
        <v>0</v>
      </c>
    </row>
    <row r="1888" spans="1:16" x14ac:dyDescent="0.25">
      <c r="A1888" t="s">
        <v>15</v>
      </c>
      <c r="B1888" t="s">
        <v>2188</v>
      </c>
      <c r="C1888" t="s">
        <v>17</v>
      </c>
      <c r="D1888" t="s">
        <v>2332</v>
      </c>
      <c r="E1888" t="s">
        <v>47</v>
      </c>
      <c r="F1888" t="s">
        <v>337</v>
      </c>
      <c r="G1888" s="1">
        <f>45989</f>
        <v>45989</v>
      </c>
      <c r="H1888" t="s">
        <v>2422</v>
      </c>
      <c r="I1888" s="2">
        <v>342</v>
      </c>
      <c r="J1888" s="2">
        <v>90.2</v>
      </c>
      <c r="K1888" s="2">
        <v>251.8</v>
      </c>
      <c r="L1888" s="2">
        <v>73.63</v>
      </c>
      <c r="M1888" s="2">
        <v>342</v>
      </c>
      <c r="N1888" s="2">
        <v>90.2</v>
      </c>
      <c r="O1888" s="2">
        <v>226.8</v>
      </c>
      <c r="P1888" s="2">
        <v>73.63</v>
      </c>
    </row>
    <row r="1889" spans="1:16" x14ac:dyDescent="0.25">
      <c r="A1889" t="s">
        <v>15</v>
      </c>
      <c r="B1889" t="s">
        <v>2188</v>
      </c>
      <c r="C1889" t="s">
        <v>17</v>
      </c>
      <c r="D1889" t="s">
        <v>2333</v>
      </c>
      <c r="E1889" t="s">
        <v>47</v>
      </c>
      <c r="F1889" t="s">
        <v>37</v>
      </c>
      <c r="G1889" s="1">
        <f>45989</f>
        <v>45989</v>
      </c>
      <c r="H1889" t="s">
        <v>2422</v>
      </c>
      <c r="I1889" s="2">
        <v>419.6</v>
      </c>
      <c r="J1889" s="2">
        <v>286.89</v>
      </c>
      <c r="K1889" s="2">
        <v>132.71</v>
      </c>
      <c r="L1889" s="2">
        <v>31.63</v>
      </c>
      <c r="M1889" s="2">
        <v>419.6</v>
      </c>
      <c r="N1889" s="2">
        <v>286.89</v>
      </c>
      <c r="O1889" s="2">
        <v>77.709999999999994</v>
      </c>
      <c r="P1889" s="2">
        <v>31.63</v>
      </c>
    </row>
    <row r="1890" spans="1:16" x14ac:dyDescent="0.25">
      <c r="A1890" t="s">
        <v>15</v>
      </c>
      <c r="B1890" t="s">
        <v>2334</v>
      </c>
      <c r="C1890" t="s">
        <v>17</v>
      </c>
      <c r="D1890" t="s">
        <v>2335</v>
      </c>
      <c r="E1890" t="s">
        <v>47</v>
      </c>
      <c r="F1890" t="s">
        <v>390</v>
      </c>
      <c r="G1890" s="1">
        <f>45995</f>
        <v>45995</v>
      </c>
      <c r="H1890" t="s">
        <v>2422</v>
      </c>
      <c r="I1890" s="2">
        <v>1440.2</v>
      </c>
      <c r="J1890" s="2">
        <v>967.8</v>
      </c>
      <c r="K1890" s="2">
        <v>472.4</v>
      </c>
      <c r="L1890" s="2">
        <v>32.799999999999997</v>
      </c>
      <c r="M1890" s="2">
        <v>0</v>
      </c>
      <c r="N1890" s="2">
        <v>956.8</v>
      </c>
      <c r="O1890" s="2">
        <v>0</v>
      </c>
      <c r="P1890" s="2">
        <v>0</v>
      </c>
    </row>
    <row r="1891" spans="1:16" x14ac:dyDescent="0.25">
      <c r="A1891" t="s">
        <v>15</v>
      </c>
      <c r="B1891" t="s">
        <v>2334</v>
      </c>
      <c r="C1891" t="s">
        <v>17</v>
      </c>
      <c r="D1891" t="s">
        <v>2336</v>
      </c>
      <c r="E1891" t="s">
        <v>47</v>
      </c>
      <c r="F1891" t="s">
        <v>219</v>
      </c>
      <c r="G1891" s="1">
        <f>45995</f>
        <v>45995</v>
      </c>
      <c r="H1891" t="s">
        <v>2422</v>
      </c>
      <c r="I1891" s="2">
        <v>254.45</v>
      </c>
      <c r="J1891" s="2">
        <v>165.4</v>
      </c>
      <c r="K1891" s="2">
        <v>89.05</v>
      </c>
      <c r="L1891" s="2">
        <v>35</v>
      </c>
      <c r="M1891" s="2">
        <v>0</v>
      </c>
      <c r="N1891" s="2">
        <v>0</v>
      </c>
      <c r="O1891" s="2">
        <v>0</v>
      </c>
      <c r="P1891" s="2">
        <v>0</v>
      </c>
    </row>
    <row r="1892" spans="1:16" x14ac:dyDescent="0.25">
      <c r="A1892" t="s">
        <v>15</v>
      </c>
      <c r="B1892" t="s">
        <v>2334</v>
      </c>
      <c r="C1892" t="s">
        <v>1505</v>
      </c>
      <c r="D1892" t="s">
        <v>2337</v>
      </c>
      <c r="E1892" t="s">
        <v>47</v>
      </c>
      <c r="F1892" t="s">
        <v>2338</v>
      </c>
      <c r="G1892" s="1">
        <f>46001</f>
        <v>46001</v>
      </c>
      <c r="H1892" t="s">
        <v>2422</v>
      </c>
      <c r="I1892" s="2">
        <v>2114</v>
      </c>
      <c r="J1892" s="2">
        <v>1535.25</v>
      </c>
      <c r="K1892" s="2">
        <v>578.75</v>
      </c>
      <c r="L1892" s="2">
        <v>27.38</v>
      </c>
      <c r="M1892" s="2">
        <v>0</v>
      </c>
      <c r="N1892" s="2">
        <v>0</v>
      </c>
      <c r="O1892" s="2">
        <v>0</v>
      </c>
      <c r="P1892" s="2">
        <v>0</v>
      </c>
    </row>
    <row r="1893" spans="1:16" x14ac:dyDescent="0.25">
      <c r="A1893" t="s">
        <v>15</v>
      </c>
      <c r="B1893" t="s">
        <v>2334</v>
      </c>
      <c r="C1893" t="s">
        <v>42</v>
      </c>
      <c r="D1893" t="s">
        <v>2339</v>
      </c>
      <c r="E1893" t="s">
        <v>47</v>
      </c>
      <c r="F1893" t="s">
        <v>1297</v>
      </c>
      <c r="G1893" s="1">
        <f>45993</f>
        <v>45993</v>
      </c>
      <c r="H1893" t="s">
        <v>2422</v>
      </c>
      <c r="I1893" s="2">
        <v>541.32000000000005</v>
      </c>
      <c r="J1893" s="2">
        <v>488.64</v>
      </c>
      <c r="K1893" s="2">
        <v>52.68</v>
      </c>
      <c r="L1893" s="2">
        <v>9.73</v>
      </c>
      <c r="M1893" s="2">
        <v>541.32000000000005</v>
      </c>
      <c r="N1893" s="2">
        <v>488.64</v>
      </c>
      <c r="O1893" s="2">
        <v>4.12</v>
      </c>
      <c r="P1893" s="2">
        <v>9.73</v>
      </c>
    </row>
    <row r="1894" spans="1:16" x14ac:dyDescent="0.25">
      <c r="A1894" t="s">
        <v>15</v>
      </c>
      <c r="B1894" t="s">
        <v>2334</v>
      </c>
      <c r="C1894" t="s">
        <v>17</v>
      </c>
      <c r="D1894" t="s">
        <v>2340</v>
      </c>
      <c r="E1894" t="s">
        <v>47</v>
      </c>
      <c r="F1894" t="s">
        <v>184</v>
      </c>
      <c r="G1894" s="1">
        <f>45993</f>
        <v>45993</v>
      </c>
      <c r="H1894" t="s">
        <v>2422</v>
      </c>
      <c r="I1894" s="2">
        <v>4389.8</v>
      </c>
      <c r="J1894" s="2">
        <v>3074.48</v>
      </c>
      <c r="K1894" s="2">
        <v>1315.32</v>
      </c>
      <c r="L1894" s="2">
        <v>29.96</v>
      </c>
      <c r="M1894" s="2">
        <v>0</v>
      </c>
      <c r="N1894" s="2">
        <v>3033.98</v>
      </c>
      <c r="O1894" s="2">
        <v>0</v>
      </c>
      <c r="P1894" s="2">
        <v>0</v>
      </c>
    </row>
    <row r="1895" spans="1:16" x14ac:dyDescent="0.25">
      <c r="A1895" t="s">
        <v>15</v>
      </c>
      <c r="B1895" t="s">
        <v>2334</v>
      </c>
      <c r="C1895" t="s">
        <v>17</v>
      </c>
      <c r="D1895" t="s">
        <v>2341</v>
      </c>
      <c r="E1895" t="s">
        <v>47</v>
      </c>
      <c r="F1895" t="s">
        <v>404</v>
      </c>
      <c r="G1895" s="1">
        <f>45993</f>
        <v>45993</v>
      </c>
      <c r="H1895" t="s">
        <v>1755</v>
      </c>
      <c r="I1895" s="2">
        <v>455</v>
      </c>
      <c r="J1895" s="2">
        <v>175.34</v>
      </c>
      <c r="K1895" s="2">
        <v>279.66000000000003</v>
      </c>
      <c r="L1895" s="2">
        <v>61.46</v>
      </c>
      <c r="M1895" s="2">
        <v>455</v>
      </c>
      <c r="N1895" s="2">
        <v>175.34</v>
      </c>
      <c r="O1895" s="2">
        <v>255.66</v>
      </c>
      <c r="P1895" s="2">
        <v>61.46</v>
      </c>
    </row>
    <row r="1896" spans="1:16" x14ac:dyDescent="0.25">
      <c r="A1896" t="s">
        <v>15</v>
      </c>
      <c r="B1896" t="s">
        <v>2334</v>
      </c>
      <c r="C1896" t="s">
        <v>17</v>
      </c>
      <c r="D1896" t="s">
        <v>2342</v>
      </c>
      <c r="E1896" t="s">
        <v>47</v>
      </c>
      <c r="F1896" t="s">
        <v>670</v>
      </c>
      <c r="G1896" s="1">
        <f>45994</f>
        <v>45994</v>
      </c>
      <c r="H1896" t="s">
        <v>1755</v>
      </c>
      <c r="I1896" s="2">
        <v>1260.2</v>
      </c>
      <c r="J1896" s="2">
        <v>862.82</v>
      </c>
      <c r="K1896" s="2">
        <v>397.38</v>
      </c>
      <c r="L1896" s="2">
        <v>31.53</v>
      </c>
      <c r="M1896" s="2">
        <v>0</v>
      </c>
      <c r="N1896" s="2">
        <v>821.82</v>
      </c>
      <c r="O1896" s="2">
        <v>0</v>
      </c>
      <c r="P1896" s="2">
        <v>0</v>
      </c>
    </row>
    <row r="1897" spans="1:16" x14ac:dyDescent="0.25">
      <c r="A1897" t="s">
        <v>15</v>
      </c>
      <c r="B1897" t="s">
        <v>2334</v>
      </c>
      <c r="C1897" t="s">
        <v>17</v>
      </c>
      <c r="D1897" t="s">
        <v>2343</v>
      </c>
      <c r="E1897" t="s">
        <v>47</v>
      </c>
      <c r="F1897" t="s">
        <v>404</v>
      </c>
      <c r="G1897" s="1">
        <f>45995</f>
        <v>45995</v>
      </c>
      <c r="H1897" t="s">
        <v>1755</v>
      </c>
      <c r="I1897" s="2">
        <v>298.35000000000002</v>
      </c>
      <c r="J1897" s="2">
        <v>206.3</v>
      </c>
      <c r="K1897" s="2">
        <v>92.05</v>
      </c>
      <c r="L1897" s="2">
        <v>30.85</v>
      </c>
      <c r="M1897" s="2">
        <v>0</v>
      </c>
      <c r="N1897" s="2">
        <v>0</v>
      </c>
      <c r="O1897" s="2">
        <v>0</v>
      </c>
      <c r="P1897" s="2">
        <v>0</v>
      </c>
    </row>
    <row r="1898" spans="1:16" x14ac:dyDescent="0.25">
      <c r="A1898" t="s">
        <v>15</v>
      </c>
      <c r="B1898" t="s">
        <v>2334</v>
      </c>
      <c r="C1898" t="s">
        <v>17</v>
      </c>
      <c r="D1898" t="s">
        <v>2344</v>
      </c>
      <c r="E1898" t="s">
        <v>47</v>
      </c>
      <c r="F1898" t="s">
        <v>497</v>
      </c>
      <c r="G1898" s="1">
        <f>45995</f>
        <v>45995</v>
      </c>
      <c r="H1898" t="s">
        <v>1755</v>
      </c>
      <c r="I1898" s="2">
        <v>1525.3</v>
      </c>
      <c r="J1898" s="2">
        <v>1061.5999999999999</v>
      </c>
      <c r="K1898" s="2">
        <v>463.7</v>
      </c>
      <c r="L1898" s="2">
        <v>30.4</v>
      </c>
      <c r="M1898" s="2">
        <v>0</v>
      </c>
      <c r="N1898" s="2">
        <v>1023.6</v>
      </c>
      <c r="O1898" s="2">
        <v>0</v>
      </c>
      <c r="P1898" s="2">
        <v>0</v>
      </c>
    </row>
    <row r="1899" spans="1:16" x14ac:dyDescent="0.25">
      <c r="A1899" t="s">
        <v>15</v>
      </c>
      <c r="B1899" t="s">
        <v>2334</v>
      </c>
      <c r="C1899" t="s">
        <v>17</v>
      </c>
      <c r="D1899" t="s">
        <v>2345</v>
      </c>
      <c r="E1899" t="s">
        <v>47</v>
      </c>
      <c r="F1899" t="s">
        <v>2346</v>
      </c>
      <c r="G1899" s="1">
        <f>46001</f>
        <v>46001</v>
      </c>
      <c r="H1899" t="s">
        <v>1755</v>
      </c>
      <c r="I1899" s="2">
        <v>2438.5</v>
      </c>
      <c r="J1899" s="2">
        <v>1626.1</v>
      </c>
      <c r="K1899" s="2">
        <v>812.4</v>
      </c>
      <c r="L1899" s="2">
        <v>33.32</v>
      </c>
      <c r="M1899" s="2">
        <v>0</v>
      </c>
      <c r="N1899" s="2">
        <v>0</v>
      </c>
      <c r="O1899" s="2">
        <v>0</v>
      </c>
      <c r="P1899" s="2">
        <v>0</v>
      </c>
    </row>
    <row r="1900" spans="1:16" x14ac:dyDescent="0.25">
      <c r="A1900" t="s">
        <v>15</v>
      </c>
      <c r="B1900" t="s">
        <v>2334</v>
      </c>
      <c r="C1900" t="s">
        <v>17</v>
      </c>
      <c r="D1900" t="s">
        <v>2347</v>
      </c>
      <c r="E1900" t="s">
        <v>47</v>
      </c>
      <c r="F1900" t="s">
        <v>172</v>
      </c>
      <c r="G1900" s="1">
        <f>46002</f>
        <v>46002</v>
      </c>
      <c r="H1900" t="s">
        <v>1755</v>
      </c>
      <c r="I1900" s="2">
        <v>390.1</v>
      </c>
      <c r="J1900" s="2">
        <v>246.3</v>
      </c>
      <c r="K1900" s="2">
        <v>143.80000000000001</v>
      </c>
      <c r="L1900" s="2">
        <v>36.86</v>
      </c>
      <c r="M1900" s="2">
        <v>0</v>
      </c>
      <c r="N1900" s="2">
        <v>0</v>
      </c>
      <c r="O1900" s="2">
        <v>0</v>
      </c>
      <c r="P1900" s="2">
        <v>0</v>
      </c>
    </row>
    <row r="1901" spans="1:16" x14ac:dyDescent="0.25">
      <c r="A1901" t="s">
        <v>15</v>
      </c>
      <c r="B1901" t="s">
        <v>2334</v>
      </c>
      <c r="C1901" t="s">
        <v>17</v>
      </c>
      <c r="D1901" t="s">
        <v>2348</v>
      </c>
      <c r="E1901" t="s">
        <v>47</v>
      </c>
      <c r="F1901" t="s">
        <v>1491</v>
      </c>
      <c r="G1901" s="1">
        <f>45999</f>
        <v>45999</v>
      </c>
      <c r="H1901" t="s">
        <v>70</v>
      </c>
      <c r="I1901" s="2">
        <v>427.12</v>
      </c>
      <c r="J1901" s="2">
        <v>207.82</v>
      </c>
      <c r="K1901" s="2">
        <v>219.29</v>
      </c>
      <c r="L1901" s="2">
        <v>51.34</v>
      </c>
      <c r="M1901" s="2">
        <v>0</v>
      </c>
      <c r="N1901" s="2">
        <v>0</v>
      </c>
      <c r="O1901" s="2">
        <v>0</v>
      </c>
      <c r="P1901" s="2">
        <v>0</v>
      </c>
    </row>
    <row r="1902" spans="1:16" x14ac:dyDescent="0.25">
      <c r="A1902" t="s">
        <v>15</v>
      </c>
      <c r="B1902" t="s">
        <v>2334</v>
      </c>
      <c r="C1902" t="s">
        <v>58</v>
      </c>
      <c r="D1902" t="s">
        <v>2349</v>
      </c>
      <c r="E1902" t="s">
        <v>47</v>
      </c>
      <c r="F1902" t="s">
        <v>483</v>
      </c>
      <c r="G1902" s="1">
        <f>45992</f>
        <v>45992</v>
      </c>
      <c r="H1902" t="s">
        <v>56</v>
      </c>
      <c r="I1902" s="2">
        <v>1150</v>
      </c>
      <c r="J1902" s="2">
        <v>779.8</v>
      </c>
      <c r="K1902" s="2">
        <v>370.2</v>
      </c>
      <c r="L1902" s="2">
        <v>32.19</v>
      </c>
      <c r="M1902" s="2">
        <v>0</v>
      </c>
      <c r="N1902" s="2">
        <v>0</v>
      </c>
      <c r="O1902" s="2">
        <v>0</v>
      </c>
      <c r="P1902" s="2">
        <v>0</v>
      </c>
    </row>
    <row r="1903" spans="1:16" x14ac:dyDescent="0.25">
      <c r="A1903" t="s">
        <v>15</v>
      </c>
      <c r="B1903" t="s">
        <v>2334</v>
      </c>
      <c r="C1903" t="s">
        <v>58</v>
      </c>
      <c r="D1903" t="s">
        <v>2350</v>
      </c>
      <c r="E1903" t="s">
        <v>47</v>
      </c>
      <c r="F1903" t="s">
        <v>2351</v>
      </c>
      <c r="G1903" s="1">
        <f>45992</f>
        <v>45992</v>
      </c>
      <c r="H1903" t="s">
        <v>56</v>
      </c>
      <c r="I1903" s="2">
        <v>1150</v>
      </c>
      <c r="J1903" s="2">
        <v>779.8</v>
      </c>
      <c r="K1903" s="2">
        <v>370.2</v>
      </c>
      <c r="L1903" s="2">
        <v>32.19</v>
      </c>
      <c r="M1903" s="2">
        <v>0</v>
      </c>
      <c r="N1903" s="2">
        <v>0</v>
      </c>
      <c r="O1903" s="2">
        <v>0</v>
      </c>
      <c r="P1903" s="2">
        <v>0</v>
      </c>
    </row>
    <row r="1904" spans="1:16" x14ac:dyDescent="0.25">
      <c r="A1904" t="s">
        <v>15</v>
      </c>
      <c r="B1904" t="s">
        <v>2334</v>
      </c>
      <c r="C1904" t="s">
        <v>58</v>
      </c>
      <c r="D1904" t="s">
        <v>2352</v>
      </c>
      <c r="E1904" t="s">
        <v>47</v>
      </c>
      <c r="F1904" t="s">
        <v>64</v>
      </c>
      <c r="G1904" s="1">
        <f>45992</f>
        <v>45992</v>
      </c>
      <c r="H1904" t="s">
        <v>56</v>
      </c>
      <c r="I1904" s="2">
        <v>263.73</v>
      </c>
      <c r="J1904" s="2">
        <v>177.29</v>
      </c>
      <c r="K1904" s="2">
        <v>86.44</v>
      </c>
      <c r="L1904" s="2">
        <v>32.78</v>
      </c>
      <c r="M1904" s="2">
        <v>0</v>
      </c>
      <c r="N1904" s="2">
        <v>45.98</v>
      </c>
      <c r="O1904" s="2">
        <v>0</v>
      </c>
      <c r="P1904" s="2">
        <v>0</v>
      </c>
    </row>
    <row r="1905" spans="1:16" x14ac:dyDescent="0.25">
      <c r="A1905" t="s">
        <v>15</v>
      </c>
      <c r="B1905" t="s">
        <v>2334</v>
      </c>
      <c r="C1905" t="s">
        <v>58</v>
      </c>
      <c r="D1905" t="s">
        <v>2353</v>
      </c>
      <c r="E1905" t="s">
        <v>47</v>
      </c>
      <c r="F1905" t="s">
        <v>62</v>
      </c>
      <c r="G1905" s="1">
        <f>45993</f>
        <v>45993</v>
      </c>
      <c r="H1905" t="s">
        <v>56</v>
      </c>
      <c r="I1905" s="2">
        <v>1428.6</v>
      </c>
      <c r="J1905" s="2">
        <v>909.19</v>
      </c>
      <c r="K1905" s="2">
        <v>519.41</v>
      </c>
      <c r="L1905" s="2">
        <v>36.36</v>
      </c>
      <c r="M1905" s="2">
        <v>0</v>
      </c>
      <c r="N1905" s="2">
        <v>0</v>
      </c>
      <c r="O1905" s="2">
        <v>0</v>
      </c>
      <c r="P1905" s="2">
        <v>0</v>
      </c>
    </row>
    <row r="1906" spans="1:16" x14ac:dyDescent="0.25">
      <c r="A1906" t="s">
        <v>15</v>
      </c>
      <c r="B1906" t="s">
        <v>2334</v>
      </c>
      <c r="C1906" t="s">
        <v>58</v>
      </c>
      <c r="D1906" t="s">
        <v>2354</v>
      </c>
      <c r="E1906" t="s">
        <v>47</v>
      </c>
      <c r="F1906" t="s">
        <v>995</v>
      </c>
      <c r="G1906" s="1">
        <f>45993</f>
        <v>45993</v>
      </c>
      <c r="H1906" t="s">
        <v>1755</v>
      </c>
      <c r="I1906" s="2">
        <v>1433.45</v>
      </c>
      <c r="J1906" s="2">
        <v>997</v>
      </c>
      <c r="K1906" s="2">
        <v>436.45</v>
      </c>
      <c r="L1906" s="2">
        <v>30.45</v>
      </c>
      <c r="M1906" s="2">
        <v>0</v>
      </c>
      <c r="N1906" s="2">
        <v>0</v>
      </c>
      <c r="O1906" s="2">
        <v>0</v>
      </c>
      <c r="P1906" s="2">
        <v>0</v>
      </c>
    </row>
    <row r="1907" spans="1:16" x14ac:dyDescent="0.25">
      <c r="A1907" t="s">
        <v>15</v>
      </c>
      <c r="B1907" t="s">
        <v>2334</v>
      </c>
      <c r="C1907" t="s">
        <v>58</v>
      </c>
      <c r="D1907" t="s">
        <v>2355</v>
      </c>
      <c r="E1907" t="s">
        <v>47</v>
      </c>
      <c r="F1907" t="s">
        <v>64</v>
      </c>
      <c r="G1907" s="1">
        <f>45993</f>
        <v>45993</v>
      </c>
      <c r="H1907" t="s">
        <v>56</v>
      </c>
      <c r="I1907" s="2">
        <v>385.7</v>
      </c>
      <c r="J1907" s="2">
        <v>286.75</v>
      </c>
      <c r="K1907" s="2">
        <v>98.95</v>
      </c>
      <c r="L1907" s="2">
        <v>25.66</v>
      </c>
      <c r="M1907" s="2">
        <v>0</v>
      </c>
      <c r="N1907" s="2">
        <v>0</v>
      </c>
      <c r="O1907" s="2">
        <v>0</v>
      </c>
      <c r="P1907" s="2">
        <v>0</v>
      </c>
    </row>
    <row r="1908" spans="1:16" x14ac:dyDescent="0.25">
      <c r="A1908" t="s">
        <v>15</v>
      </c>
      <c r="B1908" t="s">
        <v>2334</v>
      </c>
      <c r="C1908" t="s">
        <v>58</v>
      </c>
      <c r="D1908" t="s">
        <v>2356</v>
      </c>
      <c r="E1908" t="s">
        <v>47</v>
      </c>
      <c r="F1908" t="s">
        <v>131</v>
      </c>
      <c r="G1908" s="1">
        <f>45994</f>
        <v>45994</v>
      </c>
      <c r="H1908" t="s">
        <v>1755</v>
      </c>
      <c r="I1908" s="2">
        <v>2377.34</v>
      </c>
      <c r="J1908" s="2">
        <v>1655.3</v>
      </c>
      <c r="K1908" s="2">
        <v>722.04</v>
      </c>
      <c r="L1908" s="2">
        <v>30.37</v>
      </c>
      <c r="M1908" s="2">
        <v>0</v>
      </c>
      <c r="N1908" s="2">
        <v>0</v>
      </c>
      <c r="O1908" s="2">
        <v>0</v>
      </c>
      <c r="P1908" s="2">
        <v>0</v>
      </c>
    </row>
    <row r="1909" spans="1:16" x14ac:dyDescent="0.25">
      <c r="A1909" t="s">
        <v>15</v>
      </c>
      <c r="B1909" t="s">
        <v>2334</v>
      </c>
      <c r="C1909" t="s">
        <v>58</v>
      </c>
      <c r="D1909" t="s">
        <v>2357</v>
      </c>
      <c r="E1909" t="s">
        <v>47</v>
      </c>
      <c r="F1909" t="s">
        <v>69</v>
      </c>
      <c r="G1909" s="1">
        <f>45995</f>
        <v>45995</v>
      </c>
      <c r="H1909" t="s">
        <v>70</v>
      </c>
      <c r="I1909" s="2">
        <v>0</v>
      </c>
      <c r="J1909" s="2">
        <v>0</v>
      </c>
      <c r="K1909" s="2">
        <v>0</v>
      </c>
      <c r="L1909" s="2">
        <v>0</v>
      </c>
      <c r="M1909" s="2">
        <v>390.96</v>
      </c>
      <c r="N1909" s="2">
        <v>590.94000000000005</v>
      </c>
      <c r="O1909" s="2">
        <v>-199.98</v>
      </c>
      <c r="P1909" s="2">
        <v>-51.15</v>
      </c>
    </row>
    <row r="1910" spans="1:16" x14ac:dyDescent="0.25">
      <c r="A1910" t="s">
        <v>15</v>
      </c>
      <c r="B1910" t="s">
        <v>2334</v>
      </c>
      <c r="C1910" t="s">
        <v>58</v>
      </c>
      <c r="D1910" t="s">
        <v>2358</v>
      </c>
      <c r="E1910" t="s">
        <v>47</v>
      </c>
      <c r="F1910" t="s">
        <v>64</v>
      </c>
      <c r="G1910" s="1">
        <f>45995</f>
        <v>45995</v>
      </c>
      <c r="H1910" t="s">
        <v>56</v>
      </c>
      <c r="I1910" s="2">
        <v>903.6</v>
      </c>
      <c r="J1910" s="2">
        <v>610.95000000000005</v>
      </c>
      <c r="K1910" s="2">
        <v>292.64999999999998</v>
      </c>
      <c r="L1910" s="2">
        <v>32.39</v>
      </c>
      <c r="M1910" s="2">
        <v>0</v>
      </c>
      <c r="N1910" s="2">
        <v>69.349999999999994</v>
      </c>
      <c r="O1910" s="2">
        <v>0</v>
      </c>
      <c r="P1910" s="2">
        <v>0</v>
      </c>
    </row>
    <row r="1911" spans="1:16" x14ac:dyDescent="0.25">
      <c r="A1911" t="s">
        <v>15</v>
      </c>
      <c r="B1911" t="s">
        <v>2334</v>
      </c>
      <c r="C1911" t="s">
        <v>58</v>
      </c>
      <c r="D1911" t="s">
        <v>2359</v>
      </c>
      <c r="E1911" t="s">
        <v>47</v>
      </c>
      <c r="F1911" t="s">
        <v>421</v>
      </c>
      <c r="G1911" s="1">
        <f>45996</f>
        <v>45996</v>
      </c>
      <c r="H1911" t="s">
        <v>56</v>
      </c>
      <c r="I1911" s="2">
        <v>1186</v>
      </c>
      <c r="J1911" s="2">
        <v>615.96</v>
      </c>
      <c r="K1911" s="2">
        <v>570.04</v>
      </c>
      <c r="L1911" s="2">
        <v>48.06</v>
      </c>
      <c r="M1911" s="2">
        <v>0</v>
      </c>
      <c r="N1911" s="2">
        <v>0</v>
      </c>
      <c r="O1911" s="2">
        <v>0</v>
      </c>
      <c r="P1911" s="2">
        <v>0</v>
      </c>
    </row>
    <row r="1912" spans="1:16" x14ac:dyDescent="0.25">
      <c r="A1912" t="s">
        <v>15</v>
      </c>
      <c r="B1912" t="s">
        <v>2334</v>
      </c>
      <c r="C1912" t="s">
        <v>58</v>
      </c>
      <c r="D1912" t="s">
        <v>2360</v>
      </c>
      <c r="E1912" t="s">
        <v>47</v>
      </c>
      <c r="F1912" t="s">
        <v>69</v>
      </c>
      <c r="G1912" s="1">
        <f>45996</f>
        <v>45996</v>
      </c>
      <c r="H1912" t="s">
        <v>84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145.53</v>
      </c>
      <c r="O1912" s="2">
        <v>0</v>
      </c>
      <c r="P1912" s="2">
        <v>0</v>
      </c>
    </row>
    <row r="1913" spans="1:16" x14ac:dyDescent="0.25">
      <c r="A1913" t="s">
        <v>15</v>
      </c>
      <c r="B1913" t="s">
        <v>2334</v>
      </c>
      <c r="C1913" t="s">
        <v>58</v>
      </c>
      <c r="D1913" t="s">
        <v>2361</v>
      </c>
      <c r="E1913" t="s">
        <v>47</v>
      </c>
      <c r="F1913" t="s">
        <v>67</v>
      </c>
      <c r="G1913" s="1">
        <f>45996</f>
        <v>45996</v>
      </c>
      <c r="H1913" t="s">
        <v>56</v>
      </c>
      <c r="I1913" s="2">
        <v>162.4</v>
      </c>
      <c r="J1913" s="2">
        <v>113.68</v>
      </c>
      <c r="K1913" s="2">
        <v>48.72</v>
      </c>
      <c r="L1913" s="2">
        <v>30</v>
      </c>
      <c r="M1913" s="2">
        <v>0</v>
      </c>
      <c r="N1913" s="2">
        <v>0</v>
      </c>
      <c r="O1913" s="2">
        <v>0</v>
      </c>
      <c r="P1913" s="2">
        <v>0</v>
      </c>
    </row>
    <row r="1914" spans="1:16" x14ac:dyDescent="0.25">
      <c r="A1914" t="s">
        <v>15</v>
      </c>
      <c r="B1914" t="s">
        <v>2334</v>
      </c>
      <c r="C1914" t="s">
        <v>58</v>
      </c>
      <c r="D1914" t="s">
        <v>2362</v>
      </c>
      <c r="E1914" t="s">
        <v>47</v>
      </c>
      <c r="F1914" t="s">
        <v>724</v>
      </c>
      <c r="G1914" s="1">
        <f>45999</f>
        <v>45999</v>
      </c>
      <c r="H1914" t="s">
        <v>56</v>
      </c>
      <c r="I1914" s="2">
        <v>1277.6600000000001</v>
      </c>
      <c r="J1914" s="2">
        <v>886.4</v>
      </c>
      <c r="K1914" s="2">
        <v>391.26</v>
      </c>
      <c r="L1914" s="2">
        <v>30.62</v>
      </c>
      <c r="M1914" s="2">
        <v>0</v>
      </c>
      <c r="N1914" s="2">
        <v>0</v>
      </c>
      <c r="O1914" s="2">
        <v>0</v>
      </c>
      <c r="P1914" s="2">
        <v>0</v>
      </c>
    </row>
    <row r="1915" spans="1:16" x14ac:dyDescent="0.25">
      <c r="A1915" t="s">
        <v>15</v>
      </c>
      <c r="B1915" t="s">
        <v>2334</v>
      </c>
      <c r="C1915" t="s">
        <v>58</v>
      </c>
      <c r="D1915" t="s">
        <v>2363</v>
      </c>
      <c r="E1915" t="s">
        <v>47</v>
      </c>
      <c r="F1915" t="s">
        <v>2364</v>
      </c>
      <c r="G1915" s="1">
        <f>45999</f>
        <v>45999</v>
      </c>
      <c r="H1915" t="s">
        <v>56</v>
      </c>
      <c r="I1915" s="2">
        <v>488</v>
      </c>
      <c r="J1915" s="2">
        <v>335.16</v>
      </c>
      <c r="K1915" s="2">
        <v>152.84</v>
      </c>
      <c r="L1915" s="2">
        <v>31.32</v>
      </c>
      <c r="M1915" s="2">
        <v>0</v>
      </c>
      <c r="N1915" s="2">
        <v>0</v>
      </c>
      <c r="O1915" s="2">
        <v>0</v>
      </c>
      <c r="P1915" s="2">
        <v>0</v>
      </c>
    </row>
    <row r="1916" spans="1:16" x14ac:dyDescent="0.25">
      <c r="A1916" t="s">
        <v>15</v>
      </c>
      <c r="B1916" t="s">
        <v>2334</v>
      </c>
      <c r="C1916" t="s">
        <v>58</v>
      </c>
      <c r="D1916" t="s">
        <v>2365</v>
      </c>
      <c r="E1916" t="s">
        <v>47</v>
      </c>
      <c r="F1916" t="s">
        <v>64</v>
      </c>
      <c r="G1916" s="1">
        <f>46001</f>
        <v>46001</v>
      </c>
      <c r="H1916" t="s">
        <v>1755</v>
      </c>
      <c r="I1916" s="2">
        <v>234.3</v>
      </c>
      <c r="J1916" s="2">
        <v>122</v>
      </c>
      <c r="K1916" s="2">
        <v>112.3</v>
      </c>
      <c r="L1916" s="2">
        <v>47.93</v>
      </c>
      <c r="M1916" s="2">
        <v>0</v>
      </c>
      <c r="N1916" s="2">
        <v>80</v>
      </c>
      <c r="O1916" s="2">
        <v>0</v>
      </c>
      <c r="P1916" s="2">
        <v>0</v>
      </c>
    </row>
    <row r="1917" spans="1:16" x14ac:dyDescent="0.25">
      <c r="A1917" t="s">
        <v>15</v>
      </c>
      <c r="B1917" t="s">
        <v>2334</v>
      </c>
      <c r="C1917" t="s">
        <v>58</v>
      </c>
      <c r="D1917" t="s">
        <v>2366</v>
      </c>
      <c r="E1917" t="s">
        <v>47</v>
      </c>
      <c r="F1917" t="s">
        <v>164</v>
      </c>
      <c r="G1917" s="1">
        <f>46001</f>
        <v>46001</v>
      </c>
      <c r="H1917" t="s">
        <v>1755</v>
      </c>
      <c r="I1917" s="2">
        <v>336</v>
      </c>
      <c r="J1917" s="2">
        <v>225.98</v>
      </c>
      <c r="K1917" s="2">
        <v>110.02</v>
      </c>
      <c r="L1917" s="2">
        <v>32.74</v>
      </c>
      <c r="M1917" s="2">
        <v>336</v>
      </c>
      <c r="N1917" s="2">
        <v>225.98</v>
      </c>
      <c r="O1917" s="2">
        <v>76.02</v>
      </c>
      <c r="P1917" s="2">
        <v>32.74</v>
      </c>
    </row>
    <row r="1918" spans="1:16" x14ac:dyDescent="0.25">
      <c r="A1918" t="s">
        <v>15</v>
      </c>
      <c r="B1918" t="s">
        <v>2334</v>
      </c>
      <c r="C1918" t="s">
        <v>58</v>
      </c>
      <c r="D1918" t="s">
        <v>2367</v>
      </c>
      <c r="E1918" t="s">
        <v>47</v>
      </c>
      <c r="F1918" t="s">
        <v>961</v>
      </c>
      <c r="G1918" s="1">
        <f>46001</f>
        <v>46001</v>
      </c>
      <c r="H1918" t="s">
        <v>1755</v>
      </c>
      <c r="I1918" s="2">
        <v>621.21</v>
      </c>
      <c r="J1918" s="2">
        <v>375.55</v>
      </c>
      <c r="K1918" s="2">
        <v>245.66</v>
      </c>
      <c r="L1918" s="2">
        <v>39.549999999999997</v>
      </c>
      <c r="M1918" s="2">
        <v>0</v>
      </c>
      <c r="N1918" s="2">
        <v>0</v>
      </c>
      <c r="O1918" s="2">
        <v>0</v>
      </c>
      <c r="P1918" s="2">
        <v>0</v>
      </c>
    </row>
    <row r="1919" spans="1:16" x14ac:dyDescent="0.25">
      <c r="A1919" t="s">
        <v>15</v>
      </c>
      <c r="B1919" t="s">
        <v>2334</v>
      </c>
      <c r="C1919" t="s">
        <v>58</v>
      </c>
      <c r="D1919" t="s">
        <v>2368</v>
      </c>
      <c r="E1919" t="s">
        <v>47</v>
      </c>
      <c r="F1919" t="s">
        <v>131</v>
      </c>
      <c r="G1919" s="1">
        <f>46002</f>
        <v>46002</v>
      </c>
      <c r="H1919" t="s">
        <v>1755</v>
      </c>
      <c r="I1919" s="2">
        <v>1551.44</v>
      </c>
      <c r="J1919" s="2">
        <v>907</v>
      </c>
      <c r="K1919" s="2">
        <v>644.44000000000005</v>
      </c>
      <c r="L1919" s="2">
        <v>41.54</v>
      </c>
      <c r="M1919" s="2">
        <v>0</v>
      </c>
      <c r="N1919" s="2">
        <v>0</v>
      </c>
      <c r="O1919" s="2">
        <v>0</v>
      </c>
      <c r="P1919" s="2">
        <v>0</v>
      </c>
    </row>
    <row r="1920" spans="1:16" x14ac:dyDescent="0.25">
      <c r="A1920" t="s">
        <v>15</v>
      </c>
      <c r="B1920" t="s">
        <v>2334</v>
      </c>
      <c r="C1920" t="s">
        <v>58</v>
      </c>
      <c r="D1920" t="s">
        <v>2369</v>
      </c>
      <c r="E1920" t="s">
        <v>47</v>
      </c>
      <c r="F1920" t="s">
        <v>131</v>
      </c>
      <c r="G1920" s="1">
        <f>46003</f>
        <v>46003</v>
      </c>
      <c r="H1920" t="s">
        <v>1755</v>
      </c>
      <c r="I1920" s="2">
        <v>1450.83</v>
      </c>
      <c r="J1920" s="2">
        <v>1014.9</v>
      </c>
      <c r="K1920" s="2">
        <v>435.93</v>
      </c>
      <c r="L1920" s="2">
        <v>30.05</v>
      </c>
      <c r="M1920" s="2">
        <v>0</v>
      </c>
      <c r="N1920" s="2">
        <v>0</v>
      </c>
      <c r="O1920" s="2">
        <v>0</v>
      </c>
      <c r="P1920" s="2">
        <v>0</v>
      </c>
    </row>
    <row r="1921" spans="1:16" x14ac:dyDescent="0.25">
      <c r="A1921" t="s">
        <v>15</v>
      </c>
      <c r="B1921" t="s">
        <v>2334</v>
      </c>
      <c r="C1921" t="s">
        <v>58</v>
      </c>
      <c r="D1921" t="s">
        <v>2370</v>
      </c>
      <c r="E1921" t="s">
        <v>47</v>
      </c>
      <c r="F1921" t="s">
        <v>131</v>
      </c>
      <c r="G1921" s="1">
        <f>46003</f>
        <v>46003</v>
      </c>
      <c r="H1921" t="s">
        <v>1755</v>
      </c>
      <c r="I1921" s="2">
        <v>1621.73</v>
      </c>
      <c r="J1921" s="2">
        <v>1110.9000000000001</v>
      </c>
      <c r="K1921" s="2">
        <v>510.83</v>
      </c>
      <c r="L1921" s="2">
        <v>31.5</v>
      </c>
      <c r="M1921" s="2">
        <v>0</v>
      </c>
      <c r="N1921" s="2">
        <v>0</v>
      </c>
      <c r="O1921" s="2">
        <v>0</v>
      </c>
      <c r="P1921" s="2">
        <v>0</v>
      </c>
    </row>
    <row r="1922" spans="1:16" x14ac:dyDescent="0.25">
      <c r="A1922" t="s">
        <v>15</v>
      </c>
      <c r="B1922" t="s">
        <v>2334</v>
      </c>
      <c r="C1922" t="s">
        <v>187</v>
      </c>
      <c r="D1922" t="s">
        <v>2371</v>
      </c>
      <c r="E1922" t="s">
        <v>47</v>
      </c>
      <c r="F1922" t="s">
        <v>1763</v>
      </c>
      <c r="G1922" s="1">
        <f>45992</f>
        <v>45992</v>
      </c>
      <c r="H1922" t="s">
        <v>1755</v>
      </c>
      <c r="I1922" s="2">
        <v>781.8</v>
      </c>
      <c r="J1922" s="2">
        <v>534.1</v>
      </c>
      <c r="K1922" s="2">
        <v>247.7</v>
      </c>
      <c r="L1922" s="2">
        <v>31.68</v>
      </c>
      <c r="M1922" s="2">
        <v>0</v>
      </c>
      <c r="N1922" s="2">
        <v>0</v>
      </c>
      <c r="O1922" s="2">
        <v>0</v>
      </c>
      <c r="P1922" s="2">
        <v>0</v>
      </c>
    </row>
    <row r="1923" spans="1:16" x14ac:dyDescent="0.25">
      <c r="A1923" t="s">
        <v>15</v>
      </c>
      <c r="B1923" t="s">
        <v>2334</v>
      </c>
      <c r="C1923" t="s">
        <v>187</v>
      </c>
      <c r="D1923" t="s">
        <v>2372</v>
      </c>
      <c r="E1923" t="s">
        <v>47</v>
      </c>
      <c r="F1923" t="s">
        <v>1775</v>
      </c>
      <c r="G1923" s="1">
        <f>45993</f>
        <v>45993</v>
      </c>
      <c r="H1923" t="s">
        <v>2422</v>
      </c>
      <c r="I1923" s="2">
        <v>663.3</v>
      </c>
      <c r="J1923" s="2">
        <v>481.32</v>
      </c>
      <c r="K1923" s="2">
        <v>181.98</v>
      </c>
      <c r="L1923" s="2">
        <v>27.44</v>
      </c>
      <c r="M1923" s="2">
        <v>663.3</v>
      </c>
      <c r="N1923" s="2">
        <v>481.32</v>
      </c>
      <c r="O1923" s="2">
        <v>130.47999999999999</v>
      </c>
      <c r="P1923" s="2">
        <v>27.44</v>
      </c>
    </row>
    <row r="1924" spans="1:16" x14ac:dyDescent="0.25">
      <c r="A1924" t="s">
        <v>15</v>
      </c>
      <c r="B1924" t="s">
        <v>2334</v>
      </c>
      <c r="C1924" t="s">
        <v>187</v>
      </c>
      <c r="D1924" t="s">
        <v>2373</v>
      </c>
      <c r="E1924" t="s">
        <v>47</v>
      </c>
      <c r="F1924" t="s">
        <v>1028</v>
      </c>
      <c r="G1924" s="1">
        <f>45993</f>
        <v>45993</v>
      </c>
      <c r="H1924" t="s">
        <v>1755</v>
      </c>
      <c r="I1924" s="2">
        <v>234.2</v>
      </c>
      <c r="J1924" s="2">
        <v>147.19999999999999</v>
      </c>
      <c r="K1924" s="2">
        <v>87</v>
      </c>
      <c r="L1924" s="2">
        <v>37.15</v>
      </c>
      <c r="M1924" s="2">
        <v>0</v>
      </c>
      <c r="N1924" s="2">
        <v>123.2</v>
      </c>
      <c r="O1924" s="2">
        <v>0</v>
      </c>
      <c r="P1924" s="2">
        <v>0</v>
      </c>
    </row>
    <row r="1925" spans="1:16" x14ac:dyDescent="0.25">
      <c r="A1925" t="s">
        <v>15</v>
      </c>
      <c r="B1925" t="s">
        <v>2334</v>
      </c>
      <c r="C1925" t="s">
        <v>187</v>
      </c>
      <c r="D1925" t="s">
        <v>2374</v>
      </c>
      <c r="E1925" t="s">
        <v>47</v>
      </c>
      <c r="F1925" t="s">
        <v>193</v>
      </c>
      <c r="G1925" s="1">
        <f>45993</f>
        <v>45993</v>
      </c>
      <c r="H1925" t="s">
        <v>1755</v>
      </c>
      <c r="I1925" s="2">
        <v>582.5</v>
      </c>
      <c r="J1925" s="2">
        <v>435.5</v>
      </c>
      <c r="K1925" s="2">
        <v>147</v>
      </c>
      <c r="L1925" s="2">
        <v>25.24</v>
      </c>
      <c r="M1925" s="2">
        <v>0</v>
      </c>
      <c r="N1925" s="2">
        <v>0</v>
      </c>
      <c r="O1925" s="2">
        <v>0</v>
      </c>
      <c r="P1925" s="2">
        <v>0</v>
      </c>
    </row>
    <row r="1926" spans="1:16" x14ac:dyDescent="0.25">
      <c r="A1926" t="s">
        <v>15</v>
      </c>
      <c r="B1926" t="s">
        <v>2334</v>
      </c>
      <c r="C1926" t="s">
        <v>187</v>
      </c>
      <c r="D1926" t="s">
        <v>2375</v>
      </c>
      <c r="E1926" t="s">
        <v>47</v>
      </c>
      <c r="F1926" t="s">
        <v>248</v>
      </c>
      <c r="G1926" s="1">
        <f>45994</f>
        <v>45994</v>
      </c>
      <c r="H1926" t="s">
        <v>1755</v>
      </c>
      <c r="I1926" s="2">
        <v>592.28</v>
      </c>
      <c r="J1926" s="2">
        <v>384.54</v>
      </c>
      <c r="K1926" s="2">
        <v>207.74</v>
      </c>
      <c r="L1926" s="2">
        <v>35.07</v>
      </c>
      <c r="M1926" s="2">
        <v>0</v>
      </c>
      <c r="N1926" s="2">
        <v>0</v>
      </c>
      <c r="O1926" s="2">
        <v>0</v>
      </c>
      <c r="P1926" s="2">
        <v>0</v>
      </c>
    </row>
    <row r="1927" spans="1:16" x14ac:dyDescent="0.25">
      <c r="A1927" t="s">
        <v>15</v>
      </c>
      <c r="B1927" t="s">
        <v>2334</v>
      </c>
      <c r="C1927" t="s">
        <v>187</v>
      </c>
      <c r="D1927" t="s">
        <v>2376</v>
      </c>
      <c r="E1927" t="s">
        <v>47</v>
      </c>
      <c r="F1927" t="s">
        <v>248</v>
      </c>
      <c r="G1927" s="1">
        <f>45994</f>
        <v>45994</v>
      </c>
      <c r="H1927" t="s">
        <v>1755</v>
      </c>
      <c r="I1927" s="2">
        <v>353.02</v>
      </c>
      <c r="J1927" s="2">
        <v>244</v>
      </c>
      <c r="K1927" s="2">
        <v>109.02</v>
      </c>
      <c r="L1927" s="2">
        <v>30.88</v>
      </c>
      <c r="M1927" s="2">
        <v>0</v>
      </c>
      <c r="N1927" s="2">
        <v>184</v>
      </c>
      <c r="O1927" s="2">
        <v>0</v>
      </c>
      <c r="P1927" s="2">
        <v>0</v>
      </c>
    </row>
    <row r="1928" spans="1:16" x14ac:dyDescent="0.25">
      <c r="A1928" t="s">
        <v>15</v>
      </c>
      <c r="B1928" t="s">
        <v>2334</v>
      </c>
      <c r="C1928" t="s">
        <v>187</v>
      </c>
      <c r="D1928" t="s">
        <v>2377</v>
      </c>
      <c r="E1928" t="s">
        <v>47</v>
      </c>
      <c r="F1928" t="s">
        <v>189</v>
      </c>
      <c r="G1928" s="1">
        <f>45994</f>
        <v>45994</v>
      </c>
      <c r="H1928" t="s">
        <v>1755</v>
      </c>
      <c r="I1928" s="2">
        <v>1085</v>
      </c>
      <c r="J1928" s="2">
        <v>581</v>
      </c>
      <c r="K1928" s="2">
        <v>504</v>
      </c>
      <c r="L1928" s="2">
        <v>46.45</v>
      </c>
      <c r="M1928" s="2">
        <v>0</v>
      </c>
      <c r="N1928" s="2">
        <v>0</v>
      </c>
      <c r="O1928" s="2">
        <v>0</v>
      </c>
      <c r="P1928" s="2">
        <v>0</v>
      </c>
    </row>
    <row r="1929" spans="1:16" x14ac:dyDescent="0.25">
      <c r="A1929" t="s">
        <v>15</v>
      </c>
      <c r="B1929" t="s">
        <v>2334</v>
      </c>
      <c r="C1929" t="s">
        <v>187</v>
      </c>
      <c r="D1929" t="s">
        <v>2378</v>
      </c>
      <c r="E1929" t="s">
        <v>47</v>
      </c>
      <c r="F1929" t="s">
        <v>2379</v>
      </c>
      <c r="G1929" s="1">
        <f>45994</f>
        <v>45994</v>
      </c>
      <c r="H1929" t="s">
        <v>1755</v>
      </c>
      <c r="I1929" s="2">
        <v>302.39999999999998</v>
      </c>
      <c r="J1929" s="2">
        <v>204.16</v>
      </c>
      <c r="K1929" s="2">
        <v>98.24</v>
      </c>
      <c r="L1929" s="2">
        <v>32.49</v>
      </c>
      <c r="M1929" s="2">
        <v>0</v>
      </c>
      <c r="N1929" s="2">
        <v>180</v>
      </c>
      <c r="O1929" s="2">
        <v>0</v>
      </c>
      <c r="P1929" s="2">
        <v>0</v>
      </c>
    </row>
    <row r="1930" spans="1:16" x14ac:dyDescent="0.25">
      <c r="A1930" t="s">
        <v>15</v>
      </c>
      <c r="B1930" t="s">
        <v>2334</v>
      </c>
      <c r="C1930" t="s">
        <v>187</v>
      </c>
      <c r="D1930" t="s">
        <v>2380</v>
      </c>
      <c r="E1930" t="s">
        <v>47</v>
      </c>
      <c r="F1930" t="s">
        <v>191</v>
      </c>
      <c r="G1930" s="1">
        <f>45995</f>
        <v>45995</v>
      </c>
      <c r="H1930" t="s">
        <v>1755</v>
      </c>
      <c r="I1930" s="2">
        <v>1152.9000000000001</v>
      </c>
      <c r="J1930" s="2">
        <v>784</v>
      </c>
      <c r="K1930" s="2">
        <v>368.9</v>
      </c>
      <c r="L1930" s="2">
        <v>32</v>
      </c>
      <c r="M1930" s="2">
        <v>0</v>
      </c>
      <c r="N1930" s="2">
        <v>740</v>
      </c>
      <c r="O1930" s="2">
        <v>0</v>
      </c>
      <c r="P1930" s="2">
        <v>0</v>
      </c>
    </row>
    <row r="1931" spans="1:16" x14ac:dyDescent="0.25">
      <c r="A1931" t="s">
        <v>15</v>
      </c>
      <c r="B1931" t="s">
        <v>2334</v>
      </c>
      <c r="C1931" t="s">
        <v>187</v>
      </c>
      <c r="D1931" t="s">
        <v>2381</v>
      </c>
      <c r="E1931" t="s">
        <v>47</v>
      </c>
      <c r="F1931" t="s">
        <v>2382</v>
      </c>
      <c r="G1931" s="1">
        <f>45995</f>
        <v>45995</v>
      </c>
      <c r="H1931" t="s">
        <v>1755</v>
      </c>
      <c r="I1931" s="2">
        <v>745</v>
      </c>
      <c r="J1931" s="2">
        <v>483.08</v>
      </c>
      <c r="K1931" s="2">
        <v>261.92</v>
      </c>
      <c r="L1931" s="2">
        <v>35.159999999999997</v>
      </c>
      <c r="M1931" s="2">
        <v>0</v>
      </c>
      <c r="N1931" s="2">
        <v>472.08</v>
      </c>
      <c r="O1931" s="2">
        <v>0</v>
      </c>
      <c r="P1931" s="2">
        <v>0</v>
      </c>
    </row>
    <row r="1932" spans="1:16" x14ac:dyDescent="0.25">
      <c r="A1932" t="s">
        <v>15</v>
      </c>
      <c r="B1932" t="s">
        <v>2334</v>
      </c>
      <c r="C1932" t="s">
        <v>187</v>
      </c>
      <c r="D1932" t="s">
        <v>2383</v>
      </c>
      <c r="E1932" t="s">
        <v>47</v>
      </c>
      <c r="F1932" t="s">
        <v>213</v>
      </c>
      <c r="G1932" s="1">
        <f>45996</f>
        <v>45996</v>
      </c>
      <c r="H1932" t="s">
        <v>1755</v>
      </c>
      <c r="I1932" s="2">
        <v>150</v>
      </c>
      <c r="J1932" s="2">
        <v>102.19</v>
      </c>
      <c r="K1932" s="2">
        <v>47.81</v>
      </c>
      <c r="L1932" s="2">
        <v>31.87</v>
      </c>
      <c r="M1932" s="2">
        <v>0</v>
      </c>
      <c r="N1932" s="2">
        <v>66.92</v>
      </c>
      <c r="O1932" s="2">
        <v>0</v>
      </c>
      <c r="P1932" s="2">
        <v>0</v>
      </c>
    </row>
    <row r="1933" spans="1:16" x14ac:dyDescent="0.25">
      <c r="A1933" t="s">
        <v>15</v>
      </c>
      <c r="B1933" t="s">
        <v>2334</v>
      </c>
      <c r="C1933" t="s">
        <v>187</v>
      </c>
      <c r="D1933" t="s">
        <v>2384</v>
      </c>
      <c r="E1933" t="s">
        <v>47</v>
      </c>
      <c r="F1933" t="s">
        <v>191</v>
      </c>
      <c r="G1933" s="1">
        <f>45996</f>
        <v>45996</v>
      </c>
      <c r="H1933" t="s">
        <v>1755</v>
      </c>
      <c r="I1933" s="2">
        <v>1758.25</v>
      </c>
      <c r="J1933" s="2">
        <v>1081.54</v>
      </c>
      <c r="K1933" s="2">
        <v>676.71</v>
      </c>
      <c r="L1933" s="2">
        <v>38.49</v>
      </c>
      <c r="M1933" s="2">
        <v>0</v>
      </c>
      <c r="N1933" s="2">
        <v>0</v>
      </c>
      <c r="O1933" s="2">
        <v>0</v>
      </c>
      <c r="P1933" s="2">
        <v>0</v>
      </c>
    </row>
    <row r="1934" spans="1:16" x14ac:dyDescent="0.25">
      <c r="A1934" t="s">
        <v>15</v>
      </c>
      <c r="B1934" t="s">
        <v>2334</v>
      </c>
      <c r="C1934" t="s">
        <v>187</v>
      </c>
      <c r="D1934" t="s">
        <v>2385</v>
      </c>
      <c r="E1934" t="s">
        <v>47</v>
      </c>
      <c r="F1934" t="s">
        <v>189</v>
      </c>
      <c r="G1934" s="1">
        <f>45999</f>
        <v>45999</v>
      </c>
      <c r="H1934" t="s">
        <v>1755</v>
      </c>
      <c r="I1934" s="2">
        <v>2162.8000000000002</v>
      </c>
      <c r="J1934" s="2">
        <v>1417.58</v>
      </c>
      <c r="K1934" s="2">
        <v>745.22</v>
      </c>
      <c r="L1934" s="2">
        <v>34.46</v>
      </c>
      <c r="M1934" s="2">
        <v>0</v>
      </c>
      <c r="N1934" s="2">
        <v>0</v>
      </c>
      <c r="O1934" s="2">
        <v>0</v>
      </c>
      <c r="P1934" s="2">
        <v>0</v>
      </c>
    </row>
    <row r="1935" spans="1:16" x14ac:dyDescent="0.25">
      <c r="A1935" t="s">
        <v>15</v>
      </c>
      <c r="B1935" t="s">
        <v>2334</v>
      </c>
      <c r="C1935" t="s">
        <v>187</v>
      </c>
      <c r="D1935" t="s">
        <v>2386</v>
      </c>
      <c r="E1935" t="s">
        <v>47</v>
      </c>
      <c r="F1935" t="s">
        <v>189</v>
      </c>
      <c r="G1935" s="1">
        <f>45999</f>
        <v>45999</v>
      </c>
      <c r="H1935" t="s">
        <v>1755</v>
      </c>
      <c r="I1935" s="2">
        <v>190.75</v>
      </c>
      <c r="J1935" s="2">
        <v>118.53</v>
      </c>
      <c r="K1935" s="2">
        <v>72.22</v>
      </c>
      <c r="L1935" s="2">
        <v>37.86</v>
      </c>
      <c r="M1935" s="2">
        <v>0</v>
      </c>
      <c r="N1935" s="2">
        <v>109.53</v>
      </c>
      <c r="O1935" s="2">
        <v>0</v>
      </c>
      <c r="P1935" s="2">
        <v>0</v>
      </c>
    </row>
    <row r="1936" spans="1:16" x14ac:dyDescent="0.25">
      <c r="A1936" t="s">
        <v>15</v>
      </c>
      <c r="B1936" t="s">
        <v>2334</v>
      </c>
      <c r="C1936" t="s">
        <v>187</v>
      </c>
      <c r="D1936" t="s">
        <v>2387</v>
      </c>
      <c r="E1936" t="s">
        <v>47</v>
      </c>
      <c r="F1936" t="s">
        <v>226</v>
      </c>
      <c r="G1936" s="1">
        <f>46000</f>
        <v>46000</v>
      </c>
      <c r="H1936" t="s">
        <v>1755</v>
      </c>
      <c r="I1936" s="2">
        <v>344.36</v>
      </c>
      <c r="J1936" s="2">
        <v>153.96</v>
      </c>
      <c r="K1936" s="2">
        <v>190.4</v>
      </c>
      <c r="L1936" s="2">
        <v>55.29</v>
      </c>
      <c r="M1936" s="2">
        <v>0</v>
      </c>
      <c r="N1936" s="2">
        <v>153.96</v>
      </c>
      <c r="O1936" s="2">
        <v>0</v>
      </c>
      <c r="P1936" s="2">
        <v>0</v>
      </c>
    </row>
    <row r="1937" spans="1:16" x14ac:dyDescent="0.25">
      <c r="A1937" t="s">
        <v>15</v>
      </c>
      <c r="B1937" t="s">
        <v>2334</v>
      </c>
      <c r="C1937" t="s">
        <v>187</v>
      </c>
      <c r="D1937" t="s">
        <v>2388</v>
      </c>
      <c r="E1937" t="s">
        <v>47</v>
      </c>
      <c r="F1937" t="s">
        <v>211</v>
      </c>
      <c r="G1937" s="1">
        <f>46000</f>
        <v>46000</v>
      </c>
      <c r="H1937" t="s">
        <v>1755</v>
      </c>
      <c r="I1937" s="2">
        <v>1031</v>
      </c>
      <c r="J1937" s="2">
        <v>546.46</v>
      </c>
      <c r="K1937" s="2">
        <v>484.54</v>
      </c>
      <c r="L1937" s="2">
        <v>47</v>
      </c>
      <c r="M1937" s="2">
        <v>0</v>
      </c>
      <c r="N1937" s="2">
        <v>0</v>
      </c>
      <c r="O1937" s="2">
        <v>0</v>
      </c>
      <c r="P1937" s="2">
        <v>0</v>
      </c>
    </row>
    <row r="1938" spans="1:16" x14ac:dyDescent="0.25">
      <c r="A1938" t="s">
        <v>15</v>
      </c>
      <c r="B1938" t="s">
        <v>2334</v>
      </c>
      <c r="C1938" t="s">
        <v>187</v>
      </c>
      <c r="D1938" t="s">
        <v>2389</v>
      </c>
      <c r="E1938" t="s">
        <v>47</v>
      </c>
      <c r="F1938" t="s">
        <v>219</v>
      </c>
      <c r="G1938" s="1">
        <f>46001</f>
        <v>46001</v>
      </c>
      <c r="H1938" t="s">
        <v>1755</v>
      </c>
      <c r="I1938" s="2">
        <v>1071.24</v>
      </c>
      <c r="J1938" s="2">
        <v>740.4</v>
      </c>
      <c r="K1938" s="2">
        <v>330.84</v>
      </c>
      <c r="L1938" s="2">
        <v>30.88</v>
      </c>
      <c r="M1938" s="2">
        <v>0</v>
      </c>
      <c r="N1938" s="2">
        <v>0</v>
      </c>
      <c r="O1938" s="2">
        <v>0</v>
      </c>
      <c r="P1938" s="2">
        <v>0</v>
      </c>
    </row>
    <row r="1939" spans="1:16" x14ac:dyDescent="0.25">
      <c r="A1939" t="s">
        <v>15</v>
      </c>
      <c r="B1939" t="s">
        <v>2334</v>
      </c>
      <c r="C1939" t="s">
        <v>187</v>
      </c>
      <c r="D1939" t="s">
        <v>2390</v>
      </c>
      <c r="E1939" t="s">
        <v>47</v>
      </c>
      <c r="F1939" t="s">
        <v>191</v>
      </c>
      <c r="G1939" s="1">
        <f>46002</f>
        <v>46002</v>
      </c>
      <c r="H1939" t="s">
        <v>1755</v>
      </c>
      <c r="I1939" s="2">
        <v>1079.5</v>
      </c>
      <c r="J1939" s="2">
        <v>274</v>
      </c>
      <c r="K1939" s="2">
        <v>805.5</v>
      </c>
      <c r="L1939" s="2">
        <v>74.62</v>
      </c>
      <c r="M1939" s="2">
        <v>0</v>
      </c>
      <c r="N1939" s="2">
        <v>0</v>
      </c>
      <c r="O1939" s="2">
        <v>0</v>
      </c>
      <c r="P1939" s="2">
        <v>0</v>
      </c>
    </row>
    <row r="1940" spans="1:16" x14ac:dyDescent="0.25">
      <c r="A1940" t="s">
        <v>15</v>
      </c>
      <c r="B1940" t="s">
        <v>2334</v>
      </c>
      <c r="C1940" t="s">
        <v>187</v>
      </c>
      <c r="D1940" t="s">
        <v>2391</v>
      </c>
      <c r="E1940" t="s">
        <v>47</v>
      </c>
      <c r="F1940" t="s">
        <v>222</v>
      </c>
      <c r="G1940" s="1">
        <f>46003</f>
        <v>46003</v>
      </c>
      <c r="H1940" t="s">
        <v>1755</v>
      </c>
      <c r="I1940" s="2">
        <v>217.68</v>
      </c>
      <c r="J1940" s="2">
        <v>136.58000000000001</v>
      </c>
      <c r="K1940" s="2">
        <v>81.099999999999994</v>
      </c>
      <c r="L1940" s="2">
        <v>37.26</v>
      </c>
      <c r="M1940" s="2">
        <v>0</v>
      </c>
      <c r="N1940" s="2">
        <v>0</v>
      </c>
      <c r="O1940" s="2">
        <v>0</v>
      </c>
      <c r="P1940" s="2">
        <v>0</v>
      </c>
    </row>
    <row r="1941" spans="1:16" x14ac:dyDescent="0.25">
      <c r="A1941" t="s">
        <v>15</v>
      </c>
      <c r="B1941" t="s">
        <v>2334</v>
      </c>
      <c r="C1941" t="s">
        <v>252</v>
      </c>
      <c r="D1941" t="s">
        <v>2392</v>
      </c>
      <c r="E1941" t="s">
        <v>47</v>
      </c>
      <c r="F1941" t="s">
        <v>267</v>
      </c>
      <c r="G1941" s="1">
        <f>45992</f>
        <v>45992</v>
      </c>
      <c r="H1941" t="s">
        <v>2422</v>
      </c>
      <c r="I1941" s="2">
        <v>938.8</v>
      </c>
      <c r="J1941" s="2">
        <v>645</v>
      </c>
      <c r="K1941" s="2">
        <v>293.8</v>
      </c>
      <c r="L1941" s="2">
        <v>31.3</v>
      </c>
      <c r="M1941" s="2">
        <v>938.8</v>
      </c>
      <c r="N1941" s="2">
        <v>645</v>
      </c>
      <c r="O1941" s="2">
        <v>235.8</v>
      </c>
      <c r="P1941" s="2">
        <v>31.3</v>
      </c>
    </row>
    <row r="1942" spans="1:16" x14ac:dyDescent="0.25">
      <c r="A1942" t="s">
        <v>15</v>
      </c>
      <c r="B1942" t="s">
        <v>2334</v>
      </c>
      <c r="C1942" t="s">
        <v>252</v>
      </c>
      <c r="D1942" t="s">
        <v>2393</v>
      </c>
      <c r="E1942" t="s">
        <v>47</v>
      </c>
      <c r="F1942" t="s">
        <v>265</v>
      </c>
      <c r="G1942" s="1">
        <f>45994</f>
        <v>45994</v>
      </c>
      <c r="H1942" t="s">
        <v>2422</v>
      </c>
      <c r="I1942" s="2">
        <v>238.7</v>
      </c>
      <c r="J1942" s="2">
        <v>153.30000000000001</v>
      </c>
      <c r="K1942" s="2">
        <v>85.4</v>
      </c>
      <c r="L1942" s="2">
        <v>35.78</v>
      </c>
      <c r="M1942" s="2">
        <v>0</v>
      </c>
      <c r="N1942" s="2">
        <v>120.3</v>
      </c>
      <c r="O1942" s="2">
        <v>0</v>
      </c>
      <c r="P1942" s="2">
        <v>0</v>
      </c>
    </row>
    <row r="1943" spans="1:16" x14ac:dyDescent="0.25">
      <c r="A1943" t="s">
        <v>15</v>
      </c>
      <c r="B1943" t="s">
        <v>2334</v>
      </c>
      <c r="C1943" t="s">
        <v>252</v>
      </c>
      <c r="D1943" t="s">
        <v>2394</v>
      </c>
      <c r="E1943" t="s">
        <v>47</v>
      </c>
      <c r="F1943" t="s">
        <v>2395</v>
      </c>
      <c r="G1943" s="1">
        <f>45994</f>
        <v>45994</v>
      </c>
      <c r="H1943" t="s">
        <v>2422</v>
      </c>
      <c r="I1943" s="2">
        <v>4600.5</v>
      </c>
      <c r="J1943" s="2">
        <v>3218.3</v>
      </c>
      <c r="K1943" s="2">
        <v>1382.2</v>
      </c>
      <c r="L1943" s="2">
        <v>30.04</v>
      </c>
      <c r="M1943" s="2">
        <v>0</v>
      </c>
      <c r="N1943" s="2">
        <v>0</v>
      </c>
      <c r="O1943" s="2">
        <v>0</v>
      </c>
      <c r="P1943" s="2">
        <v>0</v>
      </c>
    </row>
    <row r="1944" spans="1:16" x14ac:dyDescent="0.25">
      <c r="A1944" t="s">
        <v>15</v>
      </c>
      <c r="B1944" t="s">
        <v>2334</v>
      </c>
      <c r="C1944" t="s">
        <v>252</v>
      </c>
      <c r="D1944" t="s">
        <v>2396</v>
      </c>
      <c r="E1944" t="s">
        <v>47</v>
      </c>
      <c r="F1944" t="s">
        <v>295</v>
      </c>
      <c r="G1944" s="1">
        <f>45994</f>
        <v>45994</v>
      </c>
      <c r="H1944" t="s">
        <v>2422</v>
      </c>
      <c r="I1944" s="2">
        <v>1328.4</v>
      </c>
      <c r="J1944" s="2">
        <v>911</v>
      </c>
      <c r="K1944" s="2">
        <v>417.4</v>
      </c>
      <c r="L1944" s="2">
        <v>31.42</v>
      </c>
      <c r="M1944" s="2">
        <v>0</v>
      </c>
      <c r="N1944" s="2">
        <v>0</v>
      </c>
      <c r="O1944" s="2">
        <v>0</v>
      </c>
      <c r="P1944" s="2">
        <v>0</v>
      </c>
    </row>
    <row r="1945" spans="1:16" x14ac:dyDescent="0.25">
      <c r="A1945" t="s">
        <v>15</v>
      </c>
      <c r="B1945" t="s">
        <v>2334</v>
      </c>
      <c r="C1945" t="s">
        <v>252</v>
      </c>
      <c r="D1945" t="s">
        <v>2397</v>
      </c>
      <c r="E1945" t="s">
        <v>47</v>
      </c>
      <c r="F1945" t="s">
        <v>2297</v>
      </c>
      <c r="G1945" s="1">
        <f>45995</f>
        <v>45995</v>
      </c>
      <c r="H1945" t="s">
        <v>2422</v>
      </c>
      <c r="I1945" s="2">
        <v>10990</v>
      </c>
      <c r="J1945" s="2">
        <v>7802.48</v>
      </c>
      <c r="K1945" s="2">
        <v>3187.52</v>
      </c>
      <c r="L1945" s="2">
        <v>29</v>
      </c>
      <c r="M1945" s="2">
        <v>0</v>
      </c>
      <c r="N1945" s="2">
        <v>0</v>
      </c>
      <c r="O1945" s="2">
        <v>0</v>
      </c>
      <c r="P1945" s="2">
        <v>0</v>
      </c>
    </row>
    <row r="1946" spans="1:16" x14ac:dyDescent="0.25">
      <c r="A1946" t="s">
        <v>15</v>
      </c>
      <c r="B1946" t="s">
        <v>2334</v>
      </c>
      <c r="C1946" t="s">
        <v>252</v>
      </c>
      <c r="D1946" t="s">
        <v>2398</v>
      </c>
      <c r="E1946" t="s">
        <v>47</v>
      </c>
      <c r="F1946" t="s">
        <v>272</v>
      </c>
      <c r="G1946" s="1">
        <f>45996</f>
        <v>45996</v>
      </c>
      <c r="H1946" t="s">
        <v>2422</v>
      </c>
      <c r="I1946" s="2">
        <v>481.9</v>
      </c>
      <c r="J1946" s="2">
        <v>346.29</v>
      </c>
      <c r="K1946" s="2">
        <v>135.61000000000001</v>
      </c>
      <c r="L1946" s="2">
        <v>28.14</v>
      </c>
      <c r="M1946" s="2">
        <v>0</v>
      </c>
      <c r="N1946" s="2">
        <v>346.29</v>
      </c>
      <c r="O1946" s="2">
        <v>0</v>
      </c>
      <c r="P1946" s="2">
        <v>0</v>
      </c>
    </row>
    <row r="1947" spans="1:16" x14ac:dyDescent="0.25">
      <c r="A1947" t="s">
        <v>15</v>
      </c>
      <c r="B1947" t="s">
        <v>2334</v>
      </c>
      <c r="C1947" t="s">
        <v>252</v>
      </c>
      <c r="D1947" t="s">
        <v>2399</v>
      </c>
      <c r="E1947" t="s">
        <v>47</v>
      </c>
      <c r="F1947" t="s">
        <v>290</v>
      </c>
      <c r="G1947" s="1">
        <f>46000</f>
        <v>46000</v>
      </c>
      <c r="H1947" t="s">
        <v>2422</v>
      </c>
      <c r="I1947" s="2">
        <v>4733.1000000000004</v>
      </c>
      <c r="J1947" s="2">
        <v>3400.32</v>
      </c>
      <c r="K1947" s="2">
        <v>1332.78</v>
      </c>
      <c r="L1947" s="2">
        <v>28.16</v>
      </c>
      <c r="M1947" s="2">
        <v>0</v>
      </c>
      <c r="N1947" s="2">
        <v>0</v>
      </c>
      <c r="O1947" s="2">
        <v>0</v>
      </c>
      <c r="P1947" s="2">
        <v>0</v>
      </c>
    </row>
    <row r="1948" spans="1:16" x14ac:dyDescent="0.25">
      <c r="A1948" t="s">
        <v>15</v>
      </c>
      <c r="B1948" t="s">
        <v>2334</v>
      </c>
      <c r="C1948" t="s">
        <v>252</v>
      </c>
      <c r="D1948" t="s">
        <v>2400</v>
      </c>
      <c r="E1948" t="s">
        <v>47</v>
      </c>
      <c r="F1948" t="s">
        <v>2401</v>
      </c>
      <c r="G1948" s="1">
        <f>46000</f>
        <v>46000</v>
      </c>
      <c r="H1948" t="s">
        <v>2422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0.05</v>
      </c>
      <c r="O1948" s="2">
        <v>0</v>
      </c>
      <c r="P1948" s="2">
        <v>0</v>
      </c>
    </row>
    <row r="1949" spans="1:16" x14ac:dyDescent="0.25">
      <c r="A1949" t="s">
        <v>15</v>
      </c>
      <c r="B1949" t="s">
        <v>2334</v>
      </c>
      <c r="C1949" t="s">
        <v>252</v>
      </c>
      <c r="D1949" t="s">
        <v>2402</v>
      </c>
      <c r="E1949" t="s">
        <v>47</v>
      </c>
      <c r="F1949" t="s">
        <v>2403</v>
      </c>
      <c r="G1949" s="1">
        <f>46001</f>
        <v>46001</v>
      </c>
      <c r="H1949" t="s">
        <v>2422</v>
      </c>
      <c r="I1949" s="2">
        <v>739.7</v>
      </c>
      <c r="J1949" s="2">
        <v>540.77</v>
      </c>
      <c r="K1949" s="2">
        <v>198.93</v>
      </c>
      <c r="L1949" s="2">
        <v>26.89</v>
      </c>
      <c r="M1949" s="2">
        <v>0</v>
      </c>
      <c r="N1949" s="2">
        <v>504.77</v>
      </c>
      <c r="O1949" s="2">
        <v>0</v>
      </c>
      <c r="P1949" s="2">
        <v>0</v>
      </c>
    </row>
    <row r="1950" spans="1:16" x14ac:dyDescent="0.25">
      <c r="A1950" t="s">
        <v>15</v>
      </c>
      <c r="B1950" t="s">
        <v>2334</v>
      </c>
      <c r="C1950" t="s">
        <v>252</v>
      </c>
      <c r="D1950" t="s">
        <v>2404</v>
      </c>
      <c r="E1950" t="s">
        <v>47</v>
      </c>
      <c r="F1950" t="s">
        <v>267</v>
      </c>
      <c r="G1950" s="1">
        <f>46001</f>
        <v>46001</v>
      </c>
      <c r="H1950" t="s">
        <v>2422</v>
      </c>
      <c r="I1950" s="2">
        <v>3422.2</v>
      </c>
      <c r="J1950" s="2">
        <v>2382.4299999999998</v>
      </c>
      <c r="K1950" s="2">
        <v>1039.77</v>
      </c>
      <c r="L1950" s="2">
        <v>30.38</v>
      </c>
      <c r="M1950" s="2">
        <v>0</v>
      </c>
      <c r="N1950" s="2">
        <v>0</v>
      </c>
      <c r="O1950" s="2">
        <v>0</v>
      </c>
      <c r="P1950" s="2">
        <v>0</v>
      </c>
    </row>
    <row r="1951" spans="1:16" x14ac:dyDescent="0.25">
      <c r="A1951" t="s">
        <v>15</v>
      </c>
      <c r="B1951" t="s">
        <v>2334</v>
      </c>
      <c r="C1951" t="s">
        <v>252</v>
      </c>
      <c r="D1951" t="s">
        <v>2405</v>
      </c>
      <c r="E1951" t="s">
        <v>47</v>
      </c>
      <c r="F1951" t="s">
        <v>260</v>
      </c>
      <c r="G1951" s="1">
        <f>46002</f>
        <v>46002</v>
      </c>
      <c r="H1951" t="s">
        <v>2422</v>
      </c>
      <c r="I1951" s="2">
        <v>793.2</v>
      </c>
      <c r="J1951" s="2">
        <v>534.42999999999995</v>
      </c>
      <c r="K1951" s="2">
        <v>258.77</v>
      </c>
      <c r="L1951" s="2">
        <v>32.619999999999997</v>
      </c>
      <c r="M1951" s="2">
        <v>0</v>
      </c>
      <c r="N1951" s="2">
        <v>0</v>
      </c>
      <c r="O1951" s="2">
        <v>0</v>
      </c>
      <c r="P1951" s="2">
        <v>0</v>
      </c>
    </row>
    <row r="1952" spans="1:16" x14ac:dyDescent="0.25">
      <c r="A1952" t="s">
        <v>15</v>
      </c>
      <c r="B1952" t="s">
        <v>2334</v>
      </c>
      <c r="C1952" t="s">
        <v>252</v>
      </c>
      <c r="D1952" t="s">
        <v>2406</v>
      </c>
      <c r="E1952" t="s">
        <v>47</v>
      </c>
      <c r="F1952" t="s">
        <v>574</v>
      </c>
      <c r="G1952" s="1">
        <f>46003</f>
        <v>46003</v>
      </c>
      <c r="H1952" t="s">
        <v>2422</v>
      </c>
      <c r="I1952" s="2">
        <v>363.95</v>
      </c>
      <c r="J1952" s="2">
        <v>248.37</v>
      </c>
      <c r="K1952" s="2">
        <v>115.58</v>
      </c>
      <c r="L1952" s="2">
        <v>31.76</v>
      </c>
      <c r="M1952" s="2">
        <v>0</v>
      </c>
      <c r="N1952" s="2">
        <v>0</v>
      </c>
      <c r="O1952" s="2">
        <v>0</v>
      </c>
      <c r="P1952" s="2">
        <v>0</v>
      </c>
    </row>
    <row r="1953" spans="1:16" x14ac:dyDescent="0.25">
      <c r="A1953" t="s">
        <v>15</v>
      </c>
      <c r="B1953" t="s">
        <v>2334</v>
      </c>
      <c r="C1953" t="s">
        <v>252</v>
      </c>
      <c r="D1953" t="s">
        <v>2407</v>
      </c>
      <c r="E1953" t="s">
        <v>47</v>
      </c>
      <c r="F1953" t="s">
        <v>279</v>
      </c>
      <c r="G1953" s="1">
        <f>45992</f>
        <v>45992</v>
      </c>
      <c r="H1953" t="s">
        <v>70</v>
      </c>
      <c r="I1953" s="2">
        <v>1355.2</v>
      </c>
      <c r="J1953" s="2">
        <v>631.47</v>
      </c>
      <c r="K1953" s="2">
        <v>723.73</v>
      </c>
      <c r="L1953" s="2">
        <v>53.4</v>
      </c>
      <c r="M1953" s="2">
        <v>0</v>
      </c>
      <c r="N1953" s="2">
        <v>620.83000000000004</v>
      </c>
      <c r="O1953" s="2">
        <v>0</v>
      </c>
      <c r="P1953" s="2">
        <v>0</v>
      </c>
    </row>
    <row r="1954" spans="1:16" x14ac:dyDescent="0.25">
      <c r="A1954" t="s">
        <v>15</v>
      </c>
      <c r="B1954" t="s">
        <v>2334</v>
      </c>
      <c r="C1954" t="s">
        <v>17</v>
      </c>
      <c r="D1954" t="s">
        <v>2408</v>
      </c>
      <c r="E1954" t="s">
        <v>47</v>
      </c>
      <c r="F1954" t="s">
        <v>657</v>
      </c>
      <c r="G1954" s="1">
        <f>45996</f>
        <v>45996</v>
      </c>
      <c r="H1954" t="s">
        <v>2422</v>
      </c>
      <c r="I1954" s="2">
        <v>1374.37</v>
      </c>
      <c r="J1954" s="2">
        <v>770.9</v>
      </c>
      <c r="K1954" s="2">
        <v>603.47</v>
      </c>
      <c r="L1954" s="2">
        <v>43.91</v>
      </c>
      <c r="M1954" s="2">
        <v>0</v>
      </c>
      <c r="N1954" s="2">
        <v>6.72</v>
      </c>
      <c r="O1954" s="2">
        <v>0</v>
      </c>
      <c r="P1954" s="2">
        <v>0</v>
      </c>
    </row>
    <row r="1955" spans="1:16" x14ac:dyDescent="0.25">
      <c r="A1955" t="s">
        <v>15</v>
      </c>
      <c r="B1955" t="s">
        <v>2334</v>
      </c>
      <c r="C1955" t="s">
        <v>17</v>
      </c>
      <c r="D1955" t="s">
        <v>2409</v>
      </c>
      <c r="E1955" t="s">
        <v>47</v>
      </c>
      <c r="F1955" t="s">
        <v>316</v>
      </c>
      <c r="G1955" s="1">
        <f>45993</f>
        <v>45993</v>
      </c>
      <c r="H1955" t="s">
        <v>2422</v>
      </c>
      <c r="I1955" s="2">
        <v>312</v>
      </c>
      <c r="J1955" s="2">
        <v>213.41</v>
      </c>
      <c r="K1955" s="2">
        <v>98.59</v>
      </c>
      <c r="L1955" s="2">
        <v>31.6</v>
      </c>
      <c r="M1955" s="2">
        <v>312</v>
      </c>
      <c r="N1955" s="2">
        <v>213.41</v>
      </c>
      <c r="O1955" s="2">
        <v>79.59</v>
      </c>
      <c r="P1955" s="2">
        <v>31.6</v>
      </c>
    </row>
    <row r="1956" spans="1:16" x14ac:dyDescent="0.25">
      <c r="A1956" t="s">
        <v>15</v>
      </c>
      <c r="B1956" t="s">
        <v>2334</v>
      </c>
      <c r="C1956" t="s">
        <v>17</v>
      </c>
      <c r="D1956" t="s">
        <v>2410</v>
      </c>
      <c r="E1956" t="s">
        <v>47</v>
      </c>
      <c r="F1956" t="s">
        <v>2411</v>
      </c>
      <c r="G1956" s="1">
        <f>45993</f>
        <v>45993</v>
      </c>
      <c r="H1956" t="s">
        <v>2422</v>
      </c>
      <c r="I1956" s="2">
        <v>2137</v>
      </c>
      <c r="J1956" s="2">
        <v>1558.4</v>
      </c>
      <c r="K1956" s="2">
        <v>578.6</v>
      </c>
      <c r="L1956" s="2">
        <v>27.08</v>
      </c>
      <c r="M1956" s="2">
        <v>0</v>
      </c>
      <c r="N1956" s="2">
        <v>0</v>
      </c>
      <c r="O1956" s="2">
        <v>0</v>
      </c>
      <c r="P1956" s="2">
        <v>0</v>
      </c>
    </row>
    <row r="1957" spans="1:16" x14ac:dyDescent="0.25">
      <c r="A1957" t="s">
        <v>15</v>
      </c>
      <c r="B1957" t="s">
        <v>2334</v>
      </c>
      <c r="C1957" t="s">
        <v>17</v>
      </c>
      <c r="D1957" t="s">
        <v>2412</v>
      </c>
      <c r="E1957" t="s">
        <v>47</v>
      </c>
      <c r="F1957" t="s">
        <v>2305</v>
      </c>
      <c r="G1957" s="1">
        <f>45993</f>
        <v>45993</v>
      </c>
      <c r="H1957" t="s">
        <v>2422</v>
      </c>
      <c r="I1957" s="2">
        <v>6453</v>
      </c>
      <c r="J1957" s="2">
        <v>4402.1000000000004</v>
      </c>
      <c r="K1957" s="2">
        <v>2050.9</v>
      </c>
      <c r="L1957" s="2">
        <v>31.78</v>
      </c>
      <c r="M1957" s="2">
        <v>0</v>
      </c>
      <c r="N1957" s="2">
        <v>4391.1000000000004</v>
      </c>
      <c r="O1957" s="2">
        <v>0</v>
      </c>
      <c r="P1957" s="2">
        <v>0</v>
      </c>
    </row>
    <row r="1958" spans="1:16" x14ac:dyDescent="0.25">
      <c r="A1958" t="s">
        <v>15</v>
      </c>
      <c r="B1958" t="s">
        <v>2334</v>
      </c>
      <c r="C1958" t="s">
        <v>17</v>
      </c>
      <c r="D1958" t="s">
        <v>2413</v>
      </c>
      <c r="E1958" t="s">
        <v>47</v>
      </c>
      <c r="F1958" t="s">
        <v>372</v>
      </c>
      <c r="G1958" s="1">
        <f>45994</f>
        <v>45994</v>
      </c>
      <c r="H1958" t="s">
        <v>2422</v>
      </c>
      <c r="I1958" s="2">
        <v>-3.2</v>
      </c>
      <c r="J1958" s="2">
        <v>292.7</v>
      </c>
      <c r="K1958" s="2">
        <v>-295.89999999999998</v>
      </c>
      <c r="L1958" s="2">
        <v>9246.8799999999992</v>
      </c>
      <c r="M1958" s="2">
        <v>0</v>
      </c>
      <c r="N1958" s="2">
        <v>0</v>
      </c>
      <c r="O1958" s="2">
        <v>0</v>
      </c>
      <c r="P1958" s="2">
        <v>0</v>
      </c>
    </row>
    <row r="1959" spans="1:16" x14ac:dyDescent="0.25">
      <c r="A1959" t="s">
        <v>15</v>
      </c>
      <c r="B1959" t="s">
        <v>2334</v>
      </c>
      <c r="C1959" t="s">
        <v>17</v>
      </c>
      <c r="D1959" t="s">
        <v>2414</v>
      </c>
      <c r="E1959" t="s">
        <v>47</v>
      </c>
      <c r="F1959" t="s">
        <v>868</v>
      </c>
      <c r="G1959" s="1">
        <f>45996</f>
        <v>45996</v>
      </c>
      <c r="H1959" t="s">
        <v>2422</v>
      </c>
      <c r="I1959" s="2">
        <v>426.6</v>
      </c>
      <c r="J1959" s="2">
        <v>277.06</v>
      </c>
      <c r="K1959" s="2">
        <v>149.54</v>
      </c>
      <c r="L1959" s="2">
        <v>35.049999999999997</v>
      </c>
      <c r="M1959" s="2">
        <v>0</v>
      </c>
      <c r="N1959" s="2">
        <v>0</v>
      </c>
      <c r="O1959" s="2">
        <v>0</v>
      </c>
      <c r="P1959" s="2">
        <v>0</v>
      </c>
    </row>
    <row r="1960" spans="1:16" x14ac:dyDescent="0.25">
      <c r="A1960" t="s">
        <v>15</v>
      </c>
      <c r="B1960" t="s">
        <v>2334</v>
      </c>
      <c r="C1960" t="s">
        <v>17</v>
      </c>
      <c r="D1960" t="s">
        <v>2415</v>
      </c>
      <c r="E1960" t="s">
        <v>47</v>
      </c>
      <c r="F1960" t="s">
        <v>871</v>
      </c>
      <c r="G1960" s="1">
        <f>45996</f>
        <v>45996</v>
      </c>
      <c r="H1960" t="s">
        <v>2422</v>
      </c>
      <c r="I1960" s="2">
        <v>1034.8</v>
      </c>
      <c r="J1960" s="2">
        <v>628.70000000000005</v>
      </c>
      <c r="K1960" s="2">
        <v>406.1</v>
      </c>
      <c r="L1960" s="2">
        <v>39.24</v>
      </c>
      <c r="M1960" s="2">
        <v>0</v>
      </c>
      <c r="N1960" s="2">
        <v>0</v>
      </c>
      <c r="O1960" s="2">
        <v>0</v>
      </c>
      <c r="P1960" s="2">
        <v>0</v>
      </c>
    </row>
    <row r="1961" spans="1:16" x14ac:dyDescent="0.25">
      <c r="A1961" t="s">
        <v>15</v>
      </c>
      <c r="B1961" t="s">
        <v>2334</v>
      </c>
      <c r="C1961" t="s">
        <v>17</v>
      </c>
      <c r="D1961" t="s">
        <v>2416</v>
      </c>
      <c r="E1961" t="s">
        <v>47</v>
      </c>
      <c r="F1961" t="s">
        <v>20</v>
      </c>
      <c r="G1961" s="1">
        <f>45999</f>
        <v>45999</v>
      </c>
      <c r="H1961" t="s">
        <v>2422</v>
      </c>
      <c r="I1961" s="2">
        <v>462.4</v>
      </c>
      <c r="J1961" s="2">
        <v>272.24</v>
      </c>
      <c r="K1961" s="2">
        <v>190.16</v>
      </c>
      <c r="L1961" s="2">
        <v>41.12</v>
      </c>
      <c r="M1961" s="2">
        <v>0</v>
      </c>
      <c r="N1961" s="2">
        <v>245.24</v>
      </c>
      <c r="O1961" s="2">
        <v>0</v>
      </c>
      <c r="P1961" s="2">
        <v>0</v>
      </c>
    </row>
    <row r="1962" spans="1:16" x14ac:dyDescent="0.25">
      <c r="A1962" t="s">
        <v>15</v>
      </c>
      <c r="B1962" t="s">
        <v>2334</v>
      </c>
      <c r="C1962" t="s">
        <v>17</v>
      </c>
      <c r="D1962" t="s">
        <v>2417</v>
      </c>
      <c r="E1962" t="s">
        <v>47</v>
      </c>
      <c r="F1962" t="s">
        <v>311</v>
      </c>
      <c r="G1962" s="1">
        <f>46000</f>
        <v>46000</v>
      </c>
      <c r="H1962" t="s">
        <v>2422</v>
      </c>
      <c r="I1962" s="2">
        <v>2636.4</v>
      </c>
      <c r="J1962" s="2">
        <v>1808.7</v>
      </c>
      <c r="K1962" s="2">
        <v>827.7</v>
      </c>
      <c r="L1962" s="2">
        <v>31.4</v>
      </c>
      <c r="M1962" s="2">
        <v>0</v>
      </c>
      <c r="N1962" s="2">
        <v>0</v>
      </c>
      <c r="O1962" s="2">
        <v>0</v>
      </c>
      <c r="P1962" s="2">
        <v>0</v>
      </c>
    </row>
    <row r="1963" spans="1:16" x14ac:dyDescent="0.25">
      <c r="A1963" t="s">
        <v>15</v>
      </c>
      <c r="B1963" t="s">
        <v>2334</v>
      </c>
      <c r="C1963" t="s">
        <v>17</v>
      </c>
      <c r="D1963" t="s">
        <v>2418</v>
      </c>
      <c r="E1963" t="s">
        <v>47</v>
      </c>
      <c r="F1963" t="s">
        <v>322</v>
      </c>
      <c r="G1963" s="1">
        <f>46001</f>
        <v>46001</v>
      </c>
      <c r="H1963" t="s">
        <v>2422</v>
      </c>
      <c r="I1963" s="2">
        <v>747.15</v>
      </c>
      <c r="J1963" s="2">
        <v>482.86</v>
      </c>
      <c r="K1963" s="2">
        <v>264.29000000000002</v>
      </c>
      <c r="L1963" s="2">
        <v>35.369999999999997</v>
      </c>
      <c r="M1963" s="2">
        <v>0</v>
      </c>
      <c r="N1963" s="2">
        <v>0</v>
      </c>
      <c r="O1963" s="2">
        <v>0</v>
      </c>
      <c r="P1963" s="2">
        <v>0</v>
      </c>
    </row>
    <row r="1964" spans="1:16" x14ac:dyDescent="0.25">
      <c r="A1964" t="s">
        <v>15</v>
      </c>
      <c r="B1964" t="s">
        <v>2334</v>
      </c>
      <c r="C1964" t="s">
        <v>17</v>
      </c>
      <c r="D1964" t="s">
        <v>2419</v>
      </c>
      <c r="E1964" t="s">
        <v>47</v>
      </c>
      <c r="F1964" t="s">
        <v>896</v>
      </c>
      <c r="G1964" s="1">
        <f>46002</f>
        <v>46002</v>
      </c>
      <c r="H1964" t="s">
        <v>2422</v>
      </c>
      <c r="I1964" s="2">
        <v>933.5</v>
      </c>
      <c r="J1964" s="2">
        <v>606.79999999999995</v>
      </c>
      <c r="K1964" s="2">
        <v>326.7</v>
      </c>
      <c r="L1964" s="2">
        <v>35</v>
      </c>
      <c r="M1964" s="2">
        <v>0</v>
      </c>
      <c r="N1964" s="2">
        <v>0</v>
      </c>
      <c r="O1964" s="2">
        <v>0</v>
      </c>
      <c r="P1964" s="2">
        <v>0</v>
      </c>
    </row>
    <row r="1965" spans="1:16" x14ac:dyDescent="0.25">
      <c r="A1965" t="s">
        <v>15</v>
      </c>
      <c r="B1965" t="s">
        <v>2334</v>
      </c>
      <c r="C1965" t="s">
        <v>17</v>
      </c>
      <c r="D1965" t="s">
        <v>2420</v>
      </c>
      <c r="E1965" t="s">
        <v>47</v>
      </c>
      <c r="F1965" t="s">
        <v>350</v>
      </c>
      <c r="G1965" s="1">
        <f>46003</f>
        <v>46003</v>
      </c>
      <c r="H1965" t="s">
        <v>2422</v>
      </c>
      <c r="I1965" s="2">
        <v>3009</v>
      </c>
      <c r="J1965" s="2">
        <v>2029.46</v>
      </c>
      <c r="K1965" s="2">
        <v>979.54</v>
      </c>
      <c r="L1965" s="2">
        <v>32.549999999999997</v>
      </c>
      <c r="M1965" s="2">
        <v>0</v>
      </c>
      <c r="N1965" s="2">
        <v>0</v>
      </c>
      <c r="O1965" s="2">
        <v>0</v>
      </c>
      <c r="P1965" s="2">
        <v>0</v>
      </c>
    </row>
    <row r="1966" spans="1:16" x14ac:dyDescent="0.25">
      <c r="A1966" t="s">
        <v>15</v>
      </c>
      <c r="B1966" t="s">
        <v>2334</v>
      </c>
      <c r="C1966" t="s">
        <v>17</v>
      </c>
      <c r="D1966" t="s">
        <v>2421</v>
      </c>
      <c r="E1966" t="s">
        <v>47</v>
      </c>
      <c r="F1966" t="s">
        <v>337</v>
      </c>
      <c r="G1966" s="1">
        <f>46003</f>
        <v>46003</v>
      </c>
      <c r="H1966" t="s">
        <v>2422</v>
      </c>
      <c r="I1966" s="2">
        <v>380.25</v>
      </c>
      <c r="J1966" s="2">
        <v>251.95</v>
      </c>
      <c r="K1966" s="2">
        <v>128.30000000000001</v>
      </c>
      <c r="L1966" s="2">
        <v>33.74</v>
      </c>
      <c r="M1966" s="2">
        <v>0</v>
      </c>
      <c r="N1966" s="2">
        <v>0</v>
      </c>
      <c r="O1966" s="2">
        <v>0</v>
      </c>
      <c r="P19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HOSTEIN</cp:lastModifiedBy>
  <dcterms:modified xsi:type="dcterms:W3CDTF">2026-01-18T16:02:44Z</dcterms:modified>
</cp:coreProperties>
</file>