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/>
  <workbookPr defaultThemeVersion="202300"/>
  <mc:AlternateContent xmlns:mc="http://schemas.openxmlformats.org/markup-compatibility/2006">
    <mc:Choice Requires="x15">
      <x15ac:absPath xmlns:x15ac="http://schemas.microsoft.com/office/spreadsheetml/2010/11/ac" url="C:\_Informatique\repos\tbAffaires-kimi\tests\local-data\data\"/>
    </mc:Choice>
  </mc:AlternateContent>
  <xr:revisionPtr revIDLastSave="0" documentId="8_{E79352E5-CB12-4433-8C47-DDCA70488A85}" xr6:coauthVersionLast="47" xr6:coauthVersionMax="47" xr10:uidLastSave="{00000000-0000-0000-0000-000000000000}"/>
  <bookViews>
    <workbookView xWindow="-105" yWindow="0" windowWidth="31455" windowHeight="20985" xr2:uid="{2FD1D240-47EA-4E87-A173-892CACBF767A}"/>
  </bookViews>
  <sheets>
    <sheet name="Affaires" sheetId="1" r:id="rId1"/>
  </sheets>
  <definedNames>
    <definedName name="_xlnm._FilterDatabase" localSheetId="0" hidden="1">Affaires!$A$2:$P$3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" i="1" l="1"/>
  <c r="M1" i="1"/>
  <c r="L1" i="1"/>
  <c r="J1" i="1"/>
  <c r="I1" i="1"/>
  <c r="H1" i="1"/>
  <c r="K1" i="1" l="1"/>
  <c r="O1" i="1"/>
</calcChain>
</file>

<file path=xl/sharedStrings.xml><?xml version="1.0" encoding="utf-8"?>
<sst xmlns="http://schemas.openxmlformats.org/spreadsheetml/2006/main" count="16" uniqueCount="16">
  <si>
    <t>Statut</t>
  </si>
  <si>
    <t>Date</t>
  </si>
  <si>
    <t>ADV</t>
  </si>
  <si>
    <t>Client</t>
  </si>
  <si>
    <t>Affaire</t>
  </si>
  <si>
    <t>Commercial</t>
  </si>
  <si>
    <t>CA prévu</t>
  </si>
  <si>
    <t>Coût prévu</t>
  </si>
  <si>
    <t>Marge prévue</t>
  </si>
  <si>
    <t>%Prévu</t>
  </si>
  <si>
    <t>CA réel</t>
  </si>
  <si>
    <t>Coût réel</t>
  </si>
  <si>
    <t>Marge réelle</t>
  </si>
  <si>
    <t>%Réel</t>
  </si>
  <si>
    <t>Année</t>
  </si>
  <si>
    <t>Mois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</si>
</sst>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-* #,##0.00_-;\-* #,##0.00_-;_-* &quot;-&quot;??_-;_-@_-"/>
    <numFmt numFmtId="164" formatCode="_-* #,##0_-;\-* #,##0_-;_-* &quot;-&quot;??_-;_-@_-"/>
    <numFmt numFmtId="165" formatCode="0.0%"/>
    <numFmt numFmtId="166" formatCode="0000"/>
    <numFmt numFmtId="167" formatCode="00"/>
    <numFmt numFmtId="168" formatCode="dd/mm/yy"/>
    <numFmt numFmtId="169" formatCode="_-* #,##0.0_-;\-* #,##0.0_-;_-* &quot;-&quot;??_-;_-@_-"/>
  </numFmts>
  <fonts count="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4"/>
      <color rgb="FF000000"/>
      <name val="Calibri"/>
      <family val="2"/>
    </font>
    <font>
      <sz val="11"/>
      <color rgb="FF000000"/>
      <name val="Calibri"/>
      <family val="2"/>
    </font>
    <font>
      <sz val="16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/>
  </cellStyleXfs>
  <cellXfs count="13">
    <xf numFmtId="0" fontId="0" fillId="0" borderId="0" xfId="0"/>
    <xf numFmtId="164" fontId="2" fillId="0" borderId="0" xfId="1" applyNumberFormat="1" applyFont="1" applyAlignment="1">
      <alignment vertical="center"/>
    </xf>
    <xf numFmtId="165" fontId="2" fillId="0" borderId="0" xfId="2" applyNumberFormat="1" applyFont="1" applyAlignment="1">
      <alignment vertical="center"/>
    </xf>
    <xf numFmtId="0" fontId="4" fillId="0" borderId="0" xfId="3" applyFont="1" applyAlignment="1">
      <alignment horizontal="center" vertical="center"/>
    </xf>
    <xf numFmtId="0" fontId="4" fillId="0" borderId="0" xfId="3" applyFont="1" applyAlignment="1">
      <alignment horizontal="center" vertical="center" wrapText="1"/>
    </xf>
    <xf numFmtId="0" fontId="2" fillId="0" borderId="0" xfId="3" applyFont="1"/>
    <xf numFmtId="166" fontId="3" fillId="0" borderId="0" xfId="3" applyNumberFormat="1" applyAlignment="1">
      <alignment horizontal="center"/>
    </xf>
    <xf numFmtId="167" fontId="3" fillId="0" borderId="0" xfId="3" applyNumberFormat="1" applyAlignment="1">
      <alignment horizontal="center"/>
    </xf>
    <xf numFmtId="0" fontId="3" fillId="0" borderId="0" xfId="3" applyAlignment="1">
      <alignment horizontal="left" indent="1"/>
    </xf>
    <xf numFmtId="0" fontId="3" fillId="0" borderId="0" xfId="3"/>
    <xf numFmtId="168" fontId="3" fillId="0" borderId="0" xfId="3" applyNumberFormat="1" applyAlignment="1">
      <alignment horizontal="center"/>
    </xf>
    <xf numFmtId="164" fontId="3" fillId="0" borderId="0" xfId="1" applyNumberFormat="1" applyFont="1"/>
    <xf numFmtId="169" fontId="3" fillId="0" borderId="0" xfId="1" applyNumberFormat="1" applyFont="1"/>
  </cellXfs>
  <cellStyles count="4">
    <cellStyle name="Milliers" xfId="1" builtinId="3"/>
    <cellStyle name="Normal" xfId="0" builtinId="0"/>
    <cellStyle name="Normal 2" xfId="3" xr:uid="{2C771F8D-6075-4FDF-B978-FAB1E00F0153}"/>
    <cellStyle name="Pourcentage" xfId="2" builtinId="5"/>
  </cellStyles>
  <dxfs count="21">
    <dxf>
      <fill>
        <patternFill>
          <bgColor theme="8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numFmt numFmtId="168" formatCode="dd/mm/yy"/>
      <alignment horizontal="center" vertical="bottom" textRotation="0" wrapText="0" indent="0" justifyLastLine="0" shrinkToFit="0" readingOrder="0"/>
    </dxf>
    <dxf>
      <numFmt numFmtId="168" formatCode="dd/mm/yy"/>
      <alignment horizontal="left" vertical="bottom" textRotation="0" wrapText="0" indent="1" justifyLastLine="0" shrinkToFit="0" readingOrder="0"/>
    </dxf>
    <dxf>
      <alignment horizontal="left" vertical="bottom" textRotation="0" wrapText="0" indent="1" justifyLastLine="0" shrinkToFit="0" readingOrder="0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alignment horizontal="left" vertical="bottom" textRotation="0" wrapText="0" relativeIndent="1" justifyLastLine="0" shrinkToFit="0" readingOrder="0"/>
    </dxf>
    <dxf>
      <numFmt numFmtId="167" formatCode="00"/>
      <alignment horizontal="center" vertical="bottom" textRotation="0" wrapText="0" indent="0" justifyLastLine="0" shrinkToFit="0" readingOrder="0"/>
    </dxf>
    <dxf>
      <numFmt numFmtId="167" formatCode="00"/>
      <alignment horizontal="center" vertical="bottom" textRotation="0" wrapText="0" indent="0" justifyLastLine="0" shrinkToFit="0" readingOrder="0"/>
    </dxf>
    <dxf>
      <numFmt numFmtId="166" formatCode="00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80CEBF2-0857-4900-93B6-EFF4A82F8737}" name="tbAffaires" displayName="tbAffaires" ref="A2:P3" insertRow="1" totalsRowShown="0" headerRowDxfId="20">
  <autoFilter ref="A2:P3" xr:uid="{C58EFE72-534E-4F5B-903A-EB4BA3D91829}"/>
  <sortState xmlns:xlrd2="http://schemas.microsoft.com/office/spreadsheetml/2017/richdata2" ref="A3:P3">
    <sortCondition descending="1" ref="I2:I3"/>
  </sortState>
  <tableColumns count="16">
    <tableColumn id="1" xr3:uid="{38ACBDD5-7B0E-41C0-BE91-D3C44A48C42A}" name="Année" dataDxfId="19"/>
    <tableColumn id="2" xr3:uid="{F291580D-2B73-401E-8FE8-F4EFF24EBE2E}" name="Mois" dataDxfId="18"/>
    <tableColumn id="21" xr3:uid="{B5E40FF2-86B6-4CF6-85DD-CFF24AFC1A69}" name="Commercial" dataDxfId="17" dataCellStyle="Normal 2"/>
    <tableColumn id="4" xr3:uid="{7A8CFFDF-6C6C-48DA-A288-F2E970A4B44F}" name="Affaire"/>
    <tableColumn id="7" xr3:uid="{4849228E-77CA-45FF-8B26-7A90AC49109E}" name="Date" dataDxfId="5" dataCellStyle="Normal 2"/>
    <tableColumn id="8" xr3:uid="{DF78F7CA-0859-414C-9705-AF186DAC019C}" name="ADV" dataDxfId="7" dataCellStyle="Normal 2"/>
    <tableColumn id="6" xr3:uid="{F9A0E2FC-511E-47D0-A6FA-96E36662EC5C}" name="Client" dataDxfId="16"/>
    <tableColumn id="5" xr3:uid="{4F7D1463-6C9F-4484-98B0-57E6BB9CCF23}" name="Statut" dataDxfId="6" dataCellStyle="Normal 2"/>
    <tableColumn id="9" xr3:uid="{985F9FF1-B9BD-4D8B-82C8-4699E1856588}" name="CA prévu" dataDxfId="15" dataCellStyle="Milliers"/>
    <tableColumn id="10" xr3:uid="{71A2EEAB-AAD2-466F-869E-5872E50A57C6}" name="Coût prévu" dataDxfId="14" dataCellStyle="Milliers"/>
    <tableColumn id="11" xr3:uid="{82A8F617-AB5C-4AAB-95F2-14DA8A4C3C71}" name="Marge prévue" dataDxfId="13" dataCellStyle="Milliers"/>
    <tableColumn id="12" xr3:uid="{2760587A-CA0E-4326-9DC1-7EF41A324AB7}" name="%Prévu" dataDxfId="12" dataCellStyle="Milliers"/>
    <tableColumn id="13" xr3:uid="{37D7AEDF-75FB-4A5D-B470-5948B72CAF09}" name="CA réel" dataDxfId="11" dataCellStyle="Milliers"/>
    <tableColumn id="14" xr3:uid="{7D5C0177-81F5-4B8E-8F74-4DA40E81AF0B}" name="Coût réel" dataDxfId="10" dataCellStyle="Milliers"/>
    <tableColumn id="15" xr3:uid="{D3282334-3B33-4FAF-88C6-24015ABCB107}" name="Marge réelle" dataDxfId="9" dataCellStyle="Milliers"/>
    <tableColumn id="16" xr3:uid="{D1A801BD-EF04-4B5D-8178-30B89DBD9023}" name="%Réel" dataDxfId="8" dataCellStyle="Milliers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F598D-679A-4EBA-A8B9-935233C280ED}">
  <dimension ref="A1:P3"/>
  <sheetViews>
    <sheetView tabSelected="1" zoomScale="85" zoomScaleNormal="85" workbookViewId="0">
      <selection activeCell="A2" sqref="A2:P2"/>
    </sheetView>
  </sheetViews>
  <sheetFormatPr baseColWidth="10" defaultColWidth="19.140625" defaultRowHeight="15" x14ac:dyDescent="0.25"/>
  <cols>
    <col min="1" max="1" width="15.140625" style="9" bestFit="1" customWidth="1"/>
    <col min="2" max="2" width="13.140625" style="9" bestFit="1" customWidth="1"/>
    <col min="3" max="3" width="22.140625" style="9" bestFit="1" customWidth="1"/>
    <col min="4" max="4" width="15.42578125" style="9" bestFit="1" customWidth="1"/>
    <col min="5" max="5" width="14.5703125" style="9" bestFit="1" customWidth="1"/>
    <col min="6" max="6" width="12.42578125" style="9" bestFit="1" customWidth="1"/>
    <col min="7" max="7" width="33" style="9" customWidth="1"/>
    <col min="8" max="9" width="17.85546875" style="9" bestFit="1" customWidth="1"/>
    <col min="10" max="10" width="21" style="9" bestFit="1" customWidth="1"/>
    <col min="11" max="11" width="24.85546875" style="9" bestFit="1" customWidth="1"/>
    <col min="12" max="13" width="17.85546875" style="9" bestFit="1" customWidth="1"/>
    <col min="14" max="14" width="18.28515625" style="9" bestFit="1" customWidth="1"/>
    <col min="15" max="15" width="22.85546875" style="9" bestFit="1" customWidth="1"/>
    <col min="16" max="16384" width="19.140625" style="9"/>
  </cols>
  <sheetData>
    <row r="1" spans="1:16" s="1" customFormat="1" ht="95.25" customHeight="1" x14ac:dyDescent="0.25">
      <c r="H1" s="1">
        <f>SUBTOTAL(109,tbAffaires[CA prévu])</f>
        <v>0</v>
      </c>
      <c r="I1" s="1">
        <f>SUBTOTAL(109,tbAffaires[Coût prévu])</f>
        <v>0</v>
      </c>
      <c r="J1" s="1">
        <f>SUBTOTAL(109,tbAffaires[Marge prévue])</f>
        <v>0</v>
      </c>
      <c r="K1" s="2" t="e">
        <f>J1/H1</f>
        <v>#DIV/0!</v>
      </c>
      <c r="L1" s="1">
        <f>SUBTOTAL(109,tbAffaires[CA réel])</f>
        <v>0</v>
      </c>
      <c r="M1" s="1">
        <f>SUBTOTAL(109,tbAffaires[Coût réel])</f>
        <v>0</v>
      </c>
      <c r="N1" s="1">
        <f>SUBTOTAL(109,tbAffaires[Marge réelle])</f>
        <v>0</v>
      </c>
      <c r="O1" s="2" t="e">
        <f>N1/L1</f>
        <v>#DIV/0!</v>
      </c>
    </row>
    <row r="2" spans="1:16" s="5" customFormat="1" ht="42" x14ac:dyDescent="0.3">
      <c r="A2" s="3" t="s">
        <v>14</v>
      </c>
      <c r="B2" s="3" t="s">
        <v>15</v>
      </c>
      <c r="C2" s="3" t="s">
        <v>5</v>
      </c>
      <c r="D2" s="3" t="s">
        <v>4</v>
      </c>
      <c r="E2" s="3" t="s">
        <v>1</v>
      </c>
      <c r="F2" s="3" t="s">
        <v>2</v>
      </c>
      <c r="G2" s="3" t="s">
        <v>3</v>
      </c>
      <c r="H2" s="3" t="s">
        <v>0</v>
      </c>
      <c r="I2" s="4" t="s">
        <v>6</v>
      </c>
      <c r="J2" s="4" t="s">
        <v>7</v>
      </c>
      <c r="K2" s="4" t="s">
        <v>8</v>
      </c>
      <c r="L2" s="3" t="s">
        <v>9</v>
      </c>
      <c r="M2" s="4" t="s">
        <v>10</v>
      </c>
      <c r="N2" s="4" t="s">
        <v>11</v>
      </c>
      <c r="O2" s="4" t="s">
        <v>12</v>
      </c>
      <c r="P2" s="3" t="s">
        <v>13</v>
      </c>
    </row>
    <row r="3" spans="1:16" x14ac:dyDescent="0.25">
      <c r="A3" s="6"/>
      <c r="B3" s="7"/>
      <c r="C3" s="7"/>
      <c r="E3" s="10"/>
      <c r="F3" s="8"/>
      <c r="G3" s="8"/>
      <c r="H3" s="8"/>
      <c r="I3" s="11"/>
      <c r="J3" s="11"/>
      <c r="K3" s="11"/>
      <c r="L3" s="12"/>
      <c r="M3" s="11"/>
      <c r="N3" s="11"/>
      <c r="O3" s="11"/>
      <c r="P3" s="12"/>
    </row>
  </sheetData>
  <conditionalFormatting sqref="I3">
    <cfRule type="expression" dxfId="4" priority="4">
      <formula>$I3 = 0</formula>
    </cfRule>
  </conditionalFormatting>
  <conditionalFormatting sqref="L3">
    <cfRule type="expression" dxfId="3" priority="2">
      <formula xml:space="preserve"> AND($L3 &lt;&gt; 0, $L3 &lt; 25)</formula>
    </cfRule>
  </conditionalFormatting>
  <conditionalFormatting sqref="M3">
    <cfRule type="expression" dxfId="2" priority="5">
      <formula>$M3 = 0</formula>
    </cfRule>
  </conditionalFormatting>
  <conditionalFormatting sqref="P3">
    <cfRule type="expression" dxfId="1" priority="1">
      <formula>AND($M3 &lt;&gt; 0, $P3 &gt; $L3)</formula>
    </cfRule>
    <cfRule type="expression" dxfId="0" priority="3">
      <formula>AND($M3 &lt;&gt; 0, $P3 &lt; $L3)</formula>
    </cfRule>
  </conditionalFormatting>
  <pageMargins left="0.7" right="0.7" top="0.75" bottom="0.75" header="0.3" footer="0.3"/>
  <pageSetup paperSize="9" orientation="portrait" horizontalDpi="30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Affaires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Patrick HOSTEIN</dc:creator>
  <cp:lastModifiedBy>Patrick HOSTEIN</cp:lastModifiedBy>
  <dcterms:created xsi:type="dcterms:W3CDTF">2026-01-23T18:22:41Z</dcterms:created>
  <dcterms:modified xsi:type="dcterms:W3CDTF">2026-01-28T21:08:56Z</dcterms:modified>
</cp:coreProperties>
</file>